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sgroups1-my.sharepoint.com/personal/maher_overseas-ms_com/Documents/OMS-Group/Overseas Marine Services LLC/3-Finance/Payroll/2026/1-JAN/Overseas/Crewing/"/>
    </mc:Choice>
  </mc:AlternateContent>
  <xr:revisionPtr revIDLastSave="129" documentId="8_{B351961A-286E-4862-9769-E4EA5BD4590E}" xr6:coauthVersionLast="47" xr6:coauthVersionMax="47" xr10:uidLastSave="{0D9077B3-D004-4CE7-8EB4-A84BBC7833B7}"/>
  <bookViews>
    <workbookView xWindow="-120" yWindow="-120" windowWidth="29040" windowHeight="15720" xr2:uid="{2240D53E-E84E-4E71-BED7-83DD2ABD44DD}"/>
  </bookViews>
  <sheets>
    <sheet name="Salary Sheet" sheetId="1" r:id="rId1"/>
    <sheet name="Sheet1" sheetId="2" r:id="rId2"/>
  </sheets>
  <definedNames>
    <definedName name="_xlnm._FilterDatabase" localSheetId="0" hidden="1">'Salary Sheet'!$A$4:$U$112</definedName>
    <definedName name="_xlnm._FilterDatabase" localSheetId="1" hidden="1">Sheet1!$A$1:$B$1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7" i="1" l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I107" i="1"/>
  <c r="P107" i="1" s="1"/>
  <c r="I106" i="1"/>
  <c r="P106" i="1" s="1"/>
  <c r="I105" i="1"/>
  <c r="P105" i="1" s="1"/>
  <c r="I104" i="1"/>
  <c r="P104" i="1" s="1"/>
  <c r="I103" i="1"/>
  <c r="P103" i="1" s="1"/>
  <c r="I102" i="1"/>
  <c r="P102" i="1" s="1"/>
  <c r="I101" i="1"/>
  <c r="P101" i="1" s="1"/>
  <c r="I100" i="1"/>
  <c r="P100" i="1" s="1"/>
  <c r="I99" i="1"/>
  <c r="P99" i="1" s="1"/>
  <c r="I98" i="1"/>
  <c r="P98" i="1" s="1"/>
  <c r="I97" i="1"/>
  <c r="P97" i="1" s="1"/>
  <c r="I96" i="1"/>
  <c r="P96" i="1" s="1"/>
  <c r="I95" i="1"/>
  <c r="P95" i="1" s="1"/>
  <c r="I94" i="1"/>
  <c r="P94" i="1" s="1"/>
  <c r="I93" i="1"/>
  <c r="P93" i="1" s="1"/>
  <c r="I92" i="1"/>
  <c r="P92" i="1" s="1"/>
  <c r="I91" i="1"/>
  <c r="P91" i="1" s="1"/>
  <c r="I90" i="1"/>
  <c r="P90" i="1" s="1"/>
  <c r="I89" i="1"/>
  <c r="P89" i="1" s="1"/>
  <c r="I88" i="1"/>
  <c r="P88" i="1" s="1"/>
  <c r="I87" i="1"/>
  <c r="P87" i="1" s="1"/>
  <c r="I86" i="1"/>
  <c r="P86" i="1" s="1"/>
  <c r="I85" i="1"/>
  <c r="P85" i="1" s="1"/>
  <c r="T96" i="1" l="1"/>
  <c r="T97" i="1"/>
  <c r="T89" i="1"/>
  <c r="T94" i="1"/>
  <c r="T106" i="1"/>
  <c r="T87" i="1"/>
  <c r="T86" i="1"/>
  <c r="T95" i="1"/>
  <c r="T107" i="1"/>
  <c r="T99" i="1"/>
  <c r="T102" i="1"/>
  <c r="T100" i="1"/>
  <c r="T104" i="1"/>
  <c r="T93" i="1"/>
  <c r="T88" i="1"/>
  <c r="T85" i="1"/>
  <c r="T91" i="1"/>
  <c r="T105" i="1"/>
  <c r="T98" i="1"/>
  <c r="T92" i="1"/>
  <c r="T101" i="1"/>
  <c r="T103" i="1"/>
  <c r="T90" i="1"/>
  <c r="Q84" i="1"/>
  <c r="I84" i="1"/>
  <c r="P84" i="1" s="1"/>
  <c r="L73" i="1"/>
  <c r="Q73" i="1" s="1"/>
  <c r="I73" i="1"/>
  <c r="P73" i="1" s="1"/>
  <c r="T73" i="1" l="1"/>
  <c r="T84" i="1"/>
  <c r="I71" i="1" l="1"/>
  <c r="I44" i="1"/>
  <c r="I29" i="1"/>
  <c r="Q83" i="1" l="1"/>
  <c r="I83" i="1"/>
  <c r="P83" i="1" s="1"/>
  <c r="A83" i="1"/>
  <c r="Q82" i="1"/>
  <c r="I82" i="1"/>
  <c r="P82" i="1" s="1"/>
  <c r="A82" i="1"/>
  <c r="Q81" i="1"/>
  <c r="I81" i="1"/>
  <c r="P81" i="1" s="1"/>
  <c r="A81" i="1"/>
  <c r="Q80" i="1"/>
  <c r="I80" i="1"/>
  <c r="P80" i="1" s="1"/>
  <c r="A80" i="1"/>
  <c r="Q79" i="1"/>
  <c r="I79" i="1"/>
  <c r="P79" i="1" s="1"/>
  <c r="A79" i="1"/>
  <c r="Q78" i="1"/>
  <c r="I78" i="1"/>
  <c r="P78" i="1" s="1"/>
  <c r="A78" i="1"/>
  <c r="Q77" i="1"/>
  <c r="I77" i="1"/>
  <c r="P77" i="1" s="1"/>
  <c r="A77" i="1"/>
  <c r="Q76" i="1"/>
  <c r="I76" i="1"/>
  <c r="P76" i="1" s="1"/>
  <c r="A76" i="1"/>
  <c r="Q75" i="1"/>
  <c r="I75" i="1"/>
  <c r="P75" i="1" s="1"/>
  <c r="A75" i="1"/>
  <c r="Q74" i="1"/>
  <c r="I74" i="1"/>
  <c r="P74" i="1" s="1"/>
  <c r="A74" i="1"/>
  <c r="T77" i="1" l="1"/>
  <c r="T74" i="1"/>
  <c r="T80" i="1"/>
  <c r="T81" i="1"/>
  <c r="T78" i="1"/>
  <c r="T79" i="1"/>
  <c r="T76" i="1"/>
  <c r="T75" i="1"/>
  <c r="T83" i="1"/>
  <c r="T82" i="1"/>
  <c r="P72" i="1" l="1"/>
  <c r="L71" i="1"/>
  <c r="Q71" i="1" s="1"/>
  <c r="P71" i="1"/>
  <c r="A71" i="1"/>
  <c r="L68" i="1"/>
  <c r="L66" i="1"/>
  <c r="L64" i="1"/>
  <c r="L65" i="1"/>
  <c r="L62" i="1"/>
  <c r="L63" i="1"/>
  <c r="T71" i="1" l="1"/>
  <c r="I19" i="1" l="1"/>
  <c r="L18" i="1"/>
  <c r="L19" i="1"/>
  <c r="R19" i="1" s="1"/>
  <c r="I9" i="1" l="1"/>
  <c r="P19" i="1"/>
  <c r="Q19" i="1"/>
  <c r="A19" i="1"/>
  <c r="L61" i="1"/>
  <c r="I24" i="1"/>
  <c r="L13" i="1"/>
  <c r="T19" i="1" l="1"/>
  <c r="I8" i="1"/>
  <c r="L72" i="1"/>
  <c r="Q72" i="1" s="1"/>
  <c r="T72" i="1" s="1"/>
  <c r="A72" i="1"/>
  <c r="L69" i="1"/>
  <c r="Q69" i="1" s="1"/>
  <c r="P69" i="1"/>
  <c r="L70" i="1"/>
  <c r="Q70" i="1" s="1"/>
  <c r="P70" i="1"/>
  <c r="Q68" i="1"/>
  <c r="I68" i="1"/>
  <c r="P68" i="1" s="1"/>
  <c r="A68" i="1"/>
  <c r="T68" i="1" l="1"/>
  <c r="T70" i="1"/>
  <c r="T69" i="1"/>
  <c r="A61" i="1"/>
  <c r="A62" i="1"/>
  <c r="A63" i="1"/>
  <c r="A64" i="1"/>
  <c r="A65" i="1"/>
  <c r="A66" i="1"/>
  <c r="A67" i="1"/>
  <c r="A70" i="1"/>
  <c r="L67" i="1"/>
  <c r="Q67" i="1" s="1"/>
  <c r="Q61" i="1"/>
  <c r="Q63" i="1"/>
  <c r="Q66" i="1"/>
  <c r="Q65" i="1"/>
  <c r="Q64" i="1"/>
  <c r="I63" i="1"/>
  <c r="P63" i="1" s="1"/>
  <c r="I64" i="1"/>
  <c r="P64" i="1" s="1"/>
  <c r="I65" i="1"/>
  <c r="P65" i="1" s="1"/>
  <c r="P66" i="1"/>
  <c r="P67" i="1"/>
  <c r="Q62" i="1"/>
  <c r="P62" i="1"/>
  <c r="I61" i="1"/>
  <c r="P61" i="1" s="1"/>
  <c r="T65" i="1" l="1"/>
  <c r="T66" i="1"/>
  <c r="T67" i="1"/>
  <c r="T63" i="1"/>
  <c r="T61" i="1"/>
  <c r="T62" i="1"/>
  <c r="T64" i="1"/>
  <c r="I18" i="1" l="1"/>
  <c r="P18" i="1" s="1"/>
  <c r="Q18" i="1"/>
  <c r="L59" i="1"/>
  <c r="L58" i="1"/>
  <c r="L57" i="1"/>
  <c r="L56" i="1"/>
  <c r="L55" i="1"/>
  <c r="L53" i="1"/>
  <c r="T18" i="1" l="1"/>
  <c r="L51" i="1"/>
  <c r="L20" i="1"/>
  <c r="A18" i="1" l="1"/>
  <c r="L14" i="1"/>
  <c r="Q14" i="1" s="1"/>
  <c r="L12" i="1"/>
  <c r="Q12" i="1" s="1"/>
  <c r="Q13" i="1"/>
  <c r="L11" i="1"/>
  <c r="Q11" i="1" s="1"/>
  <c r="L7" i="1"/>
  <c r="P44" i="1"/>
  <c r="L44" i="1"/>
  <c r="Q44" i="1" s="1"/>
  <c r="L42" i="1"/>
  <c r="Q42" i="1" s="1"/>
  <c r="P42" i="1"/>
  <c r="L39" i="1"/>
  <c r="Q39" i="1" s="1"/>
  <c r="P39" i="1"/>
  <c r="T42" i="1" l="1"/>
  <c r="T44" i="1"/>
  <c r="T39" i="1"/>
  <c r="P14" i="1" l="1"/>
  <c r="T14" i="1" s="1"/>
  <c r="L52" i="1" l="1"/>
  <c r="Q52" i="1" s="1"/>
  <c r="Q53" i="1"/>
  <c r="L54" i="1"/>
  <c r="Q54" i="1" s="1"/>
  <c r="Q55" i="1"/>
  <c r="Q56" i="1"/>
  <c r="Q57" i="1"/>
  <c r="Q58" i="1"/>
  <c r="Q59" i="1"/>
  <c r="L60" i="1"/>
  <c r="Q60" i="1" s="1"/>
  <c r="L50" i="1"/>
  <c r="Q50" i="1" s="1"/>
  <c r="Q51" i="1"/>
  <c r="Q120" i="1" s="1"/>
  <c r="P51" i="1"/>
  <c r="P52" i="1"/>
  <c r="P53" i="1"/>
  <c r="P54" i="1"/>
  <c r="P55" i="1"/>
  <c r="P56" i="1"/>
  <c r="P57" i="1"/>
  <c r="P58" i="1"/>
  <c r="P59" i="1"/>
  <c r="P60" i="1"/>
  <c r="P50" i="1"/>
  <c r="P49" i="1"/>
  <c r="L49" i="1"/>
  <c r="Q49" i="1" s="1"/>
  <c r="A49" i="1"/>
  <c r="A50" i="1"/>
  <c r="A51" i="1"/>
  <c r="A52" i="1"/>
  <c r="A53" i="1"/>
  <c r="A54" i="1"/>
  <c r="A55" i="1"/>
  <c r="A56" i="1"/>
  <c r="A57" i="1"/>
  <c r="A58" i="1"/>
  <c r="A59" i="1"/>
  <c r="A60" i="1"/>
  <c r="L33" i="1"/>
  <c r="Q33" i="1" s="1"/>
  <c r="P33" i="1"/>
  <c r="T49" i="1" l="1"/>
  <c r="T60" i="1"/>
  <c r="T59" i="1"/>
  <c r="T54" i="1"/>
  <c r="T52" i="1"/>
  <c r="T50" i="1"/>
  <c r="T51" i="1"/>
  <c r="T57" i="1"/>
  <c r="T56" i="1"/>
  <c r="T55" i="1"/>
  <c r="T53" i="1"/>
  <c r="T58" i="1"/>
  <c r="T33" i="1"/>
  <c r="L38" i="1"/>
  <c r="L10" i="1" l="1"/>
  <c r="P12" i="1"/>
  <c r="T12" i="1" s="1"/>
  <c r="P13" i="1"/>
  <c r="T13" i="1" s="1"/>
  <c r="A13" i="1"/>
  <c r="A12" i="1"/>
  <c r="P11" i="1"/>
  <c r="T11" i="1" s="1"/>
  <c r="A11" i="1"/>
  <c r="P10" i="1" l="1"/>
  <c r="Q10" i="1"/>
  <c r="T10" i="1" l="1"/>
  <c r="A10" i="1"/>
  <c r="P46" i="1" l="1"/>
  <c r="P47" i="1"/>
  <c r="L46" i="1"/>
  <c r="Q46" i="1" s="1"/>
  <c r="L47" i="1"/>
  <c r="Q47" i="1" s="1"/>
  <c r="A46" i="1"/>
  <c r="A47" i="1"/>
  <c r="A48" i="1"/>
  <c r="P32" i="1"/>
  <c r="P34" i="1"/>
  <c r="P35" i="1"/>
  <c r="P36" i="1"/>
  <c r="P37" i="1"/>
  <c r="P38" i="1"/>
  <c r="P40" i="1"/>
  <c r="P41" i="1"/>
  <c r="P43" i="1"/>
  <c r="P45" i="1"/>
  <c r="P48" i="1"/>
  <c r="L32" i="1"/>
  <c r="Q32" i="1" s="1"/>
  <c r="L34" i="1"/>
  <c r="Q34" i="1" s="1"/>
  <c r="L35" i="1"/>
  <c r="Q35" i="1" s="1"/>
  <c r="L36" i="1"/>
  <c r="Q36" i="1" s="1"/>
  <c r="L37" i="1"/>
  <c r="Q37" i="1" s="1"/>
  <c r="Q38" i="1"/>
  <c r="L40" i="1"/>
  <c r="Q40" i="1" s="1"/>
  <c r="L41" i="1"/>
  <c r="Q41" i="1" s="1"/>
  <c r="L43" i="1"/>
  <c r="Q43" i="1" s="1"/>
  <c r="L45" i="1"/>
  <c r="Q45" i="1" s="1"/>
  <c r="L48" i="1"/>
  <c r="Q48" i="1" s="1"/>
  <c r="L31" i="1"/>
  <c r="Q31" i="1" s="1"/>
  <c r="P31" i="1"/>
  <c r="A31" i="1"/>
  <c r="A32" i="1"/>
  <c r="A34" i="1"/>
  <c r="A35" i="1"/>
  <c r="A36" i="1"/>
  <c r="A37" i="1"/>
  <c r="A38" i="1"/>
  <c r="A40" i="1"/>
  <c r="A41" i="1"/>
  <c r="A43" i="1"/>
  <c r="A45" i="1"/>
  <c r="T31" i="1" l="1"/>
  <c r="T47" i="1"/>
  <c r="T32" i="1"/>
  <c r="T48" i="1"/>
  <c r="T45" i="1"/>
  <c r="T37" i="1"/>
  <c r="T36" i="1"/>
  <c r="T35" i="1"/>
  <c r="T34" i="1"/>
  <c r="T40" i="1"/>
  <c r="T46" i="1"/>
  <c r="T43" i="1"/>
  <c r="T41" i="1"/>
  <c r="T38" i="1"/>
  <c r="L25" i="1"/>
  <c r="L26" i="1"/>
  <c r="L27" i="1"/>
  <c r="L28" i="1"/>
  <c r="L29" i="1"/>
  <c r="L30" i="1"/>
  <c r="P6" i="1" l="1"/>
  <c r="L6" i="1"/>
  <c r="Q6" i="1" s="1"/>
  <c r="A6" i="1"/>
  <c r="A7" i="1"/>
  <c r="L8" i="1"/>
  <c r="P20" i="1"/>
  <c r="Q20" i="1"/>
  <c r="A20" i="1"/>
  <c r="A21" i="1"/>
  <c r="T20" i="1" l="1"/>
  <c r="P26" i="1"/>
  <c r="P27" i="1"/>
  <c r="P28" i="1"/>
  <c r="P29" i="1"/>
  <c r="P30" i="1"/>
  <c r="Q26" i="1"/>
  <c r="Q27" i="1"/>
  <c r="Q28" i="1"/>
  <c r="Q29" i="1"/>
  <c r="Q30" i="1"/>
  <c r="A26" i="1"/>
  <c r="A27" i="1"/>
  <c r="A28" i="1"/>
  <c r="A29" i="1"/>
  <c r="A30" i="1"/>
  <c r="Q25" i="1"/>
  <c r="P25" i="1"/>
  <c r="T25" i="1" l="1"/>
  <c r="T26" i="1"/>
  <c r="T29" i="1"/>
  <c r="T30" i="1"/>
  <c r="T28" i="1"/>
  <c r="T27" i="1"/>
  <c r="P22" i="1"/>
  <c r="P23" i="1"/>
  <c r="P24" i="1"/>
  <c r="L22" i="1"/>
  <c r="Q22" i="1" s="1"/>
  <c r="L23" i="1"/>
  <c r="Q23" i="1" s="1"/>
  <c r="L24" i="1"/>
  <c r="Q24" i="1" s="1"/>
  <c r="L21" i="1"/>
  <c r="Q21" i="1" s="1"/>
  <c r="P21" i="1"/>
  <c r="T23" i="1" l="1"/>
  <c r="T21" i="1"/>
  <c r="T24" i="1"/>
  <c r="T22" i="1"/>
  <c r="A22" i="1"/>
  <c r="A23" i="1"/>
  <c r="A24" i="1"/>
  <c r="A25" i="1"/>
  <c r="L16" i="1"/>
  <c r="Q16" i="1" s="1"/>
  <c r="L17" i="1"/>
  <c r="Q17" i="1" s="1"/>
  <c r="P16" i="1"/>
  <c r="P17" i="1"/>
  <c r="A16" i="1"/>
  <c r="A17" i="1"/>
  <c r="L15" i="1"/>
  <c r="Q15" i="1" s="1"/>
  <c r="P15" i="1"/>
  <c r="P9" i="1"/>
  <c r="Q7" i="1"/>
  <c r="Q8" i="1"/>
  <c r="L9" i="1"/>
  <c r="Q9" i="1" s="1"/>
  <c r="P8" i="1"/>
  <c r="P7" i="1"/>
  <c r="T16" i="1" l="1"/>
  <c r="T15" i="1"/>
  <c r="T17" i="1"/>
  <c r="T7" i="1"/>
  <c r="T8" i="1"/>
  <c r="T9" i="1"/>
  <c r="A8" i="1"/>
  <c r="A9" i="1"/>
  <c r="A15" i="1"/>
  <c r="A5" i="1"/>
  <c r="P5" i="1"/>
  <c r="L5" i="1"/>
  <c r="Q5" i="1" s="1"/>
  <c r="T108" i="1" l="1"/>
</calcChain>
</file>

<file path=xl/sharedStrings.xml><?xml version="1.0" encoding="utf-8"?>
<sst xmlns="http://schemas.openxmlformats.org/spreadsheetml/2006/main" count="758" uniqueCount="185">
  <si>
    <t>PAYROLL SUMMARY FOR JANUARY 2026</t>
  </si>
  <si>
    <t>S/L NO.</t>
  </si>
  <si>
    <t>EMP.NO.</t>
  </si>
  <si>
    <t>NAME</t>
  </si>
  <si>
    <t>DESIGNATION</t>
  </si>
  <si>
    <t>CLIENT</t>
  </si>
  <si>
    <t>PROJECT</t>
  </si>
  <si>
    <t>JOINING DATE</t>
  </si>
  <si>
    <t xml:space="preserve">BASIC SALARY </t>
  </si>
  <si>
    <t>SUPPLIMENTRY ALLOWANCE</t>
  </si>
  <si>
    <t>SITE ALLOWANCE</t>
  </si>
  <si>
    <t>JANUARY SALARY</t>
  </si>
  <si>
    <t>TOTAL SALARY</t>
  </si>
  <si>
    <t>PAYMENT METHOD</t>
  </si>
  <si>
    <t>STAND BY</t>
  </si>
  <si>
    <t>ON SITE</t>
  </si>
  <si>
    <t>ADDTION/  DEDUCTION</t>
  </si>
  <si>
    <t>OT</t>
  </si>
  <si>
    <t>FROM</t>
  </si>
  <si>
    <t>TO</t>
  </si>
  <si>
    <t>NO. OF DAYS</t>
  </si>
  <si>
    <t>VINOD MENON</t>
  </si>
  <si>
    <t>JUB PORT CAPT.</t>
  </si>
  <si>
    <t>NMDC ENERGY</t>
  </si>
  <si>
    <t>CREWING</t>
  </si>
  <si>
    <t>-</t>
  </si>
  <si>
    <t>LOCAL BANK ACCOUNT</t>
  </si>
  <si>
    <t>GLACIAN NESAN</t>
  </si>
  <si>
    <t>DP PORT CAPTAIN</t>
  </si>
  <si>
    <t>TAMER AZMY</t>
  </si>
  <si>
    <t>MST</t>
  </si>
  <si>
    <t>AHMED LATECH</t>
  </si>
  <si>
    <t>MUHDIN KADIR</t>
  </si>
  <si>
    <t>VAN STEE</t>
  </si>
  <si>
    <t>2059</t>
  </si>
  <si>
    <t>HATEM ELHADY FEKRY</t>
  </si>
  <si>
    <t>ABO BAKR AHMED</t>
  </si>
  <si>
    <t>IRHAM YAHYA</t>
  </si>
  <si>
    <t>CO</t>
  </si>
  <si>
    <t>NMDCGROUP</t>
  </si>
  <si>
    <t>HARI LINTAR</t>
  </si>
  <si>
    <t>2O</t>
  </si>
  <si>
    <t>HADUCO</t>
  </si>
  <si>
    <t>ARIEF POERNAMA</t>
  </si>
  <si>
    <t>CE</t>
  </si>
  <si>
    <t>MADIYO SUHARDI</t>
  </si>
  <si>
    <t>AVRILON SELON</t>
  </si>
  <si>
    <t>AB</t>
  </si>
  <si>
    <t>BMS</t>
  </si>
  <si>
    <t>C3 CARDS</t>
  </si>
  <si>
    <t>AJISH VASANTH</t>
  </si>
  <si>
    <t>MUHAMMAD JUSRIANTO</t>
  </si>
  <si>
    <t>OILER</t>
  </si>
  <si>
    <t>ASHOK PATKAR</t>
  </si>
  <si>
    <t>AP</t>
  </si>
  <si>
    <t>MARCAP</t>
  </si>
  <si>
    <t>3003</t>
  </si>
  <si>
    <t>MOHAMED HASHIR</t>
  </si>
  <si>
    <t>RIGGER</t>
  </si>
  <si>
    <t>DWML</t>
  </si>
  <si>
    <t>NAUSHAD ALAM</t>
  </si>
  <si>
    <t>PTWC</t>
  </si>
  <si>
    <t>NMDC GROUP</t>
  </si>
  <si>
    <t>MOHAMMAD RAFIQUE</t>
  </si>
  <si>
    <t>JP WELDER</t>
  </si>
  <si>
    <t>SACHIN THUMBE</t>
  </si>
  <si>
    <t>DHANUSH PARIMELLA</t>
  </si>
  <si>
    <t>JP PAINTER</t>
  </si>
  <si>
    <t>RANJEET KUMAR</t>
  </si>
  <si>
    <t>PA</t>
  </si>
  <si>
    <t xml:space="preserve">MD ALI </t>
  </si>
  <si>
    <t>MUHAMMAD BILAL</t>
  </si>
  <si>
    <t>AGT</t>
  </si>
  <si>
    <t>NOUFAL SHIHABUDEEN</t>
  </si>
  <si>
    <t>FRANKLINE MESAPE EBONG</t>
  </si>
  <si>
    <t>DEVI SAI KETHA</t>
  </si>
  <si>
    <t>JP RIGGER</t>
  </si>
  <si>
    <t>3078</t>
  </si>
  <si>
    <t>NAVED AHMED SHAIKH</t>
  </si>
  <si>
    <t>3097</t>
  </si>
  <si>
    <t>ANIL CHAUHAN SUDISTA</t>
  </si>
  <si>
    <t>NILESH KUMAR PARMAR</t>
  </si>
  <si>
    <t>3094</t>
  </si>
  <si>
    <t>ASAD RAJA</t>
  </si>
  <si>
    <t>3098</t>
  </si>
  <si>
    <t>AKHTAR JAFRUDDIN</t>
  </si>
  <si>
    <t xml:space="preserve">JP PAINTER </t>
  </si>
  <si>
    <t>3099</t>
  </si>
  <si>
    <t>ALI IMAM</t>
  </si>
  <si>
    <t>3102</t>
  </si>
  <si>
    <t>IBRAR HUSEIN</t>
  </si>
  <si>
    <t>3103</t>
  </si>
  <si>
    <t xml:space="preserve">TAHIR AHMAD </t>
  </si>
  <si>
    <t>JP SCAFFOLDER</t>
  </si>
  <si>
    <t>STEVEN MUYUNJO</t>
  </si>
  <si>
    <t>3095</t>
  </si>
  <si>
    <t>TAUHID ALAM</t>
  </si>
  <si>
    <t>3104</t>
  </si>
  <si>
    <t xml:space="preserve">MD ABDUL KADIR </t>
  </si>
  <si>
    <t>AMADU IBRAHIM</t>
  </si>
  <si>
    <t>AVIJIT MAHAPATRA</t>
  </si>
  <si>
    <t>MUHAMMAD USMAN</t>
  </si>
  <si>
    <t>3111</t>
  </si>
  <si>
    <t>RANGRAO LALA BABAR</t>
  </si>
  <si>
    <t>3109</t>
  </si>
  <si>
    <t>ROHIT KUMAR YADAV</t>
  </si>
  <si>
    <t>3112</t>
  </si>
  <si>
    <t>BALMIK DALAI</t>
  </si>
  <si>
    <t>3110</t>
  </si>
  <si>
    <t>GURUSAMY PAGAVATHI</t>
  </si>
  <si>
    <t>FRED KATUMBA</t>
  </si>
  <si>
    <t>ROMULO ELARDO MICU</t>
  </si>
  <si>
    <t>HARI KRISHNA</t>
  </si>
  <si>
    <t>SAIFOUR RAHMAN</t>
  </si>
  <si>
    <t xml:space="preserve">ROBERT TAYEBWA </t>
  </si>
  <si>
    <t>SUNIL KUMAR</t>
  </si>
  <si>
    <t>RANJAN RAI</t>
  </si>
  <si>
    <t xml:space="preserve">JP RIGGER </t>
  </si>
  <si>
    <t>MANU SASIDHARAN</t>
  </si>
  <si>
    <t>MICHAEL RAJ GANAPATHY</t>
  </si>
  <si>
    <t>YUSSIF MOHAMMED</t>
  </si>
  <si>
    <t xml:space="preserve">MOHAMMAD ALTAF </t>
  </si>
  <si>
    <t xml:space="preserve">PRAVEEN PALLIKKUDATH </t>
  </si>
  <si>
    <t xml:space="preserve">JP FABRICATOR </t>
  </si>
  <si>
    <t xml:space="preserve">KOTA MALLESWARA UDAYA VINOD </t>
  </si>
  <si>
    <t>MUHAMMED FAZIL</t>
  </si>
  <si>
    <t>MOHAMMED AJMERI KHAN</t>
  </si>
  <si>
    <t>AMIN MOHAMMED JIBRIL</t>
  </si>
  <si>
    <t>HANEEFA PAREECHENTE PURAKKAL</t>
  </si>
  <si>
    <t>SEIDU ALHASSAN</t>
  </si>
  <si>
    <t>SATYANARAYAN KAILASH MALLIK</t>
  </si>
  <si>
    <t>KRIPESH KUMAR</t>
  </si>
  <si>
    <t>AIDIOUS BAAFI</t>
  </si>
  <si>
    <t>CASH</t>
  </si>
  <si>
    <t>CHANDAN MANDAL</t>
  </si>
  <si>
    <t xml:space="preserve">FELIX OFEI WELLINGTON </t>
  </si>
  <si>
    <t>BAHAA SALOUM</t>
  </si>
  <si>
    <t>ADJE JEAN MONNEY</t>
  </si>
  <si>
    <t>ARBIND KUMAR</t>
  </si>
  <si>
    <t>FIRE WARDEN</t>
  </si>
  <si>
    <t>WAITING FOR C3 ACCOUNTS</t>
  </si>
  <si>
    <t>MOHAMED EL BESHBESHY</t>
  </si>
  <si>
    <t>TAHA ELIWA</t>
  </si>
  <si>
    <t>KIRAN SHAHZAD</t>
  </si>
  <si>
    <t>REJI SAMUEL</t>
  </si>
  <si>
    <t>JP FABRICATOR</t>
  </si>
  <si>
    <t>BILPAB SHARMA</t>
  </si>
  <si>
    <t>DEEPAK KUMAR CHAUHAN</t>
  </si>
  <si>
    <t>PRABAKARAN GOBINDARAJ</t>
  </si>
  <si>
    <t>KARIM AHMED</t>
  </si>
  <si>
    <t>ATIF PERVEZ MASIH</t>
  </si>
  <si>
    <t>MD SADAF UDDIN</t>
  </si>
  <si>
    <t>EUGENE BOKE ASIAHMAN</t>
  </si>
  <si>
    <t xml:space="preserve">AHMED SALIM SHAIBU </t>
  </si>
  <si>
    <t xml:space="preserve">IYAPPAN GANAPTHY </t>
  </si>
  <si>
    <t xml:space="preserve">SALAUDDIN KHAN </t>
  </si>
  <si>
    <t xml:space="preserve">NAGA NAVEEN KUMAR </t>
  </si>
  <si>
    <t xml:space="preserve">PA </t>
  </si>
  <si>
    <t xml:space="preserve">LOCAL BANK ACCOUNT </t>
  </si>
  <si>
    <t>MARKUS OPOKU</t>
  </si>
  <si>
    <t>TUNU UPADHYAY</t>
  </si>
  <si>
    <t>ARAFAT KAYONDO</t>
  </si>
  <si>
    <t>LUCKY NAHWERA</t>
  </si>
  <si>
    <t>TARIQ MAHMOOD</t>
  </si>
  <si>
    <t>NITHIN NARAYANAN</t>
  </si>
  <si>
    <t>ADRASH DUBEY</t>
  </si>
  <si>
    <t>PAUSON MUSHABE</t>
  </si>
  <si>
    <t>JOSHUA ABUGRI</t>
  </si>
  <si>
    <t xml:space="preserve"> ISAAC KOMETEY DABI</t>
  </si>
  <si>
    <t>EDWIN ELAD EPAN</t>
  </si>
  <si>
    <t>JOSHUA NUWAMANYA</t>
  </si>
  <si>
    <t>YAOVI AMOUSSOUVI</t>
  </si>
  <si>
    <t>MICHAEL SASU</t>
  </si>
  <si>
    <t>SHAILESH DHANRAJ</t>
  </si>
  <si>
    <t xml:space="preserve">MAKUBUYA MOSES </t>
  </si>
  <si>
    <t xml:space="preserve">RONALD KIMURGOR </t>
  </si>
  <si>
    <t>MOHANA RAO PILAKA</t>
  </si>
  <si>
    <t>PREPARED BY</t>
  </si>
  <si>
    <t xml:space="preserve"> RECHELLE FERNANDEZ - CREWING OFFICER</t>
  </si>
  <si>
    <t xml:space="preserve">     DATE: </t>
  </si>
  <si>
    <t xml:space="preserve">   DATE:</t>
  </si>
  <si>
    <t xml:space="preserve">  DATE:</t>
  </si>
  <si>
    <t xml:space="preserve">           </t>
  </si>
  <si>
    <t>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</si>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</sst>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14C09]d\ mmm\ yyyy;@"/>
    <numFmt numFmtId="165" formatCode="&quot;AED&quot;#,##0"/>
  </numFmts>
  <fonts count="6"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20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6" fontId="1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0" xfId="1" applyFont="1"/>
    <xf numFmtId="0" fontId="0" fillId="3" borderId="0" xfId="0" applyFill="1" applyAlignment="1">
      <alignment horizontal="center" vertical="center"/>
    </xf>
    <xf numFmtId="0" fontId="0" fillId="3" borderId="0" xfId="0" applyFill="1"/>
    <xf numFmtId="164" fontId="4" fillId="2" borderId="11" xfId="0" applyNumberFormat="1" applyFont="1" applyFill="1" applyBorder="1" applyAlignment="1">
      <alignment horizontal="center" vertical="center"/>
    </xf>
    <xf numFmtId="164" fontId="4" fillId="2" borderId="10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164" fontId="4" fillId="2" borderId="12" xfId="0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417467</xdr:colOff>
      <xdr:row>0</xdr:row>
      <xdr:rowOff>54429</xdr:rowOff>
    </xdr:from>
    <xdr:to>
      <xdr:col>2</xdr:col>
      <xdr:colOff>1532164</xdr:colOff>
      <xdr:row>1</xdr:row>
      <xdr:rowOff>28848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9656735-7CF2-54C2-3F52-3127B524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467" y="54429"/>
          <a:ext cx="2352947" cy="777240"/>
        </a:xfrm>
        <a:prstGeom prst="rect">
          <a:avLst/>
        </a:prstGeom>
      </xdr:spPr>
    </xdr:pic>
    <xdr:clientData/>
  </xdr:twoCellAnchor>
  <xdr:twoCellAnchor editAs="oneCell">
    <xdr:from>
      <xdr:col>2</xdr:col>
      <xdr:colOff>653143</xdr:colOff>
      <xdr:row>112</xdr:row>
      <xdr:rowOff>65314</xdr:rowOff>
    </xdr:from>
    <xdr:to>
      <xdr:col>2</xdr:col>
      <xdr:colOff>2547258</xdr:colOff>
      <xdr:row>114</xdr:row>
      <xdr:rowOff>113339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67E4B6-E1C9-48B4-82E7-C84894692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6772" y="10504714"/>
          <a:ext cx="1937657" cy="41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3779C-5696-4BD2-98BE-2E62D6921580}">
  <sheetPr>
    <pageSetUpPr fitToPage="1"/>
  </sheetPr>
  <dimension ref="A1:U120"/>
  <sheetViews>
    <sheetView tabSelected="1" zoomScale="70" zoomScaleNormal="70" workbookViewId="0">
      <pane xSplit="3" ySplit="1" topLeftCell="D2" activePane="bottomRight" state="frozen"/>
      <selection pane="bottomRight" activeCell="C87" sqref="C87"/>
      <selection pane="bottomLeft" activeCell="A2" sqref="A2"/>
      <selection pane="topRight" activeCell="D1" sqref="D1"/>
    </sheetView>
  </sheetViews>
  <sheetFormatPr defaultRowHeight="15"/>
  <cols>
    <col min="1" max="1" width="8.28515625" style="5" customWidth="1"/>
    <col min="2" max="2" width="10.140625" style="5" customWidth="1"/>
    <col min="3" max="3" width="39.85546875" style="5" customWidth="1"/>
    <col min="4" max="6" width="21" style="5" customWidth="1"/>
    <col min="7" max="7" width="20.7109375" style="5" customWidth="1"/>
    <col min="8" max="8" width="12.7109375" style="5" customWidth="1"/>
    <col min="9" max="9" width="10.140625" style="5" customWidth="1"/>
    <col min="10" max="11" width="12.7109375" style="5" customWidth="1"/>
    <col min="12" max="12" width="7.28515625" style="5" customWidth="1"/>
    <col min="13" max="13" width="9.85546875" style="5" customWidth="1"/>
    <col min="14" max="14" width="16.5703125" style="5" customWidth="1"/>
    <col min="15" max="15" width="16.28515625" style="5" customWidth="1"/>
    <col min="16" max="16" width="13.140625" style="5" customWidth="1"/>
    <col min="17" max="17" width="10.42578125" style="5" customWidth="1"/>
    <col min="18" max="19" width="14" style="5" customWidth="1"/>
    <col min="20" max="20" width="22.7109375" style="5" bestFit="1" customWidth="1"/>
    <col min="21" max="21" width="28.140625" style="5" bestFit="1" customWidth="1"/>
  </cols>
  <sheetData>
    <row r="1" spans="1:21" ht="63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</row>
    <row r="2" spans="1:21" ht="15.6" customHeight="1">
      <c r="A2" s="29" t="s">
        <v>1</v>
      </c>
      <c r="B2" s="46" t="s">
        <v>2</v>
      </c>
      <c r="C2" s="29" t="s">
        <v>3</v>
      </c>
      <c r="D2" s="29" t="s">
        <v>4</v>
      </c>
      <c r="E2" s="29" t="s">
        <v>5</v>
      </c>
      <c r="F2" s="29" t="s">
        <v>6</v>
      </c>
      <c r="G2" s="50" t="s">
        <v>7</v>
      </c>
      <c r="H2" s="52"/>
      <c r="I2" s="52"/>
      <c r="J2" s="52"/>
      <c r="K2" s="51"/>
      <c r="L2" s="3"/>
      <c r="M2" s="46" t="s">
        <v>8</v>
      </c>
      <c r="N2" s="46" t="s">
        <v>9</v>
      </c>
      <c r="O2" s="46" t="s">
        <v>10</v>
      </c>
      <c r="P2" s="36" t="s">
        <v>11</v>
      </c>
      <c r="Q2" s="32"/>
      <c r="R2" s="32"/>
      <c r="S2" s="33"/>
      <c r="T2" s="46" t="s">
        <v>12</v>
      </c>
      <c r="U2" s="46" t="s">
        <v>13</v>
      </c>
    </row>
    <row r="3" spans="1:21" ht="15.75">
      <c r="A3" s="30"/>
      <c r="B3" s="47"/>
      <c r="C3" s="30"/>
      <c r="D3" s="30"/>
      <c r="E3" s="30"/>
      <c r="F3" s="30"/>
      <c r="G3" s="50" t="s">
        <v>14</v>
      </c>
      <c r="H3" s="51"/>
      <c r="I3" s="3"/>
      <c r="J3" s="50" t="s">
        <v>15</v>
      </c>
      <c r="K3" s="51"/>
      <c r="L3" s="3"/>
      <c r="M3" s="47"/>
      <c r="N3" s="47"/>
      <c r="O3" s="47"/>
      <c r="P3" s="53" t="s">
        <v>14</v>
      </c>
      <c r="Q3" s="53" t="s">
        <v>15</v>
      </c>
      <c r="R3" s="26" t="s">
        <v>16</v>
      </c>
      <c r="S3" s="26" t="s">
        <v>17</v>
      </c>
      <c r="T3" s="47"/>
      <c r="U3" s="47"/>
    </row>
    <row r="4" spans="1:21" ht="47.25">
      <c r="A4" s="31"/>
      <c r="B4" s="48"/>
      <c r="C4" s="31"/>
      <c r="D4" s="31"/>
      <c r="E4" s="31"/>
      <c r="F4" s="31"/>
      <c r="G4" s="3" t="s">
        <v>18</v>
      </c>
      <c r="H4" s="3" t="s">
        <v>19</v>
      </c>
      <c r="I4" s="4" t="s">
        <v>20</v>
      </c>
      <c r="J4" s="3" t="s">
        <v>18</v>
      </c>
      <c r="K4" s="3" t="s">
        <v>19</v>
      </c>
      <c r="L4" s="4" t="s">
        <v>20</v>
      </c>
      <c r="M4" s="48"/>
      <c r="N4" s="48"/>
      <c r="O4" s="48"/>
      <c r="P4" s="53"/>
      <c r="Q4" s="53"/>
      <c r="R4" s="26"/>
      <c r="S4" s="26"/>
      <c r="T4" s="48"/>
      <c r="U4" s="48"/>
    </row>
    <row r="5" spans="1:21" ht="24.6" customHeight="1">
      <c r="A5" s="1">
        <f t="shared" ref="A5:A67" si="0">ROW()-4</f>
        <v>1</v>
      </c>
      <c r="B5" s="1">
        <v>2025</v>
      </c>
      <c r="C5" s="2" t="s">
        <v>21</v>
      </c>
      <c r="D5" s="7" t="s">
        <v>22</v>
      </c>
      <c r="E5" s="7" t="s">
        <v>23</v>
      </c>
      <c r="F5" s="7" t="s">
        <v>24</v>
      </c>
      <c r="G5" s="9" t="s">
        <v>25</v>
      </c>
      <c r="H5" s="9" t="s">
        <v>25</v>
      </c>
      <c r="I5" s="1">
        <v>0</v>
      </c>
      <c r="J5" s="9">
        <v>46023</v>
      </c>
      <c r="K5" s="9">
        <v>46053</v>
      </c>
      <c r="L5" s="1">
        <f t="shared" ref="L5:L48" si="1">SUM(K5-J5)+1</f>
        <v>31</v>
      </c>
      <c r="M5" s="1">
        <v>0</v>
      </c>
      <c r="N5" s="1">
        <v>0</v>
      </c>
      <c r="O5" s="1">
        <v>0</v>
      </c>
      <c r="P5" s="1">
        <f t="shared" ref="P5" si="2">SUM(I5*(M5+N5))</f>
        <v>0</v>
      </c>
      <c r="Q5" s="1">
        <f t="shared" ref="Q5" si="3">SUM(L5*(M5+N5+O5))</f>
        <v>0</v>
      </c>
      <c r="R5" s="1"/>
      <c r="S5" s="1"/>
      <c r="T5" s="1">
        <v>55000</v>
      </c>
      <c r="U5" s="2" t="s">
        <v>26</v>
      </c>
    </row>
    <row r="6" spans="1:21" ht="24.6" customHeight="1">
      <c r="A6" s="1">
        <f t="shared" si="0"/>
        <v>2</v>
      </c>
      <c r="B6" s="1">
        <v>2026</v>
      </c>
      <c r="C6" s="2" t="s">
        <v>27</v>
      </c>
      <c r="D6" s="7" t="s">
        <v>28</v>
      </c>
      <c r="E6" s="7" t="s">
        <v>23</v>
      </c>
      <c r="F6" s="7" t="s">
        <v>24</v>
      </c>
      <c r="G6" s="9" t="s">
        <v>25</v>
      </c>
      <c r="H6" s="9" t="s">
        <v>25</v>
      </c>
      <c r="I6" s="1">
        <v>0</v>
      </c>
      <c r="J6" s="9">
        <v>46023</v>
      </c>
      <c r="K6" s="9">
        <v>46053</v>
      </c>
      <c r="L6" s="1">
        <f t="shared" si="1"/>
        <v>31</v>
      </c>
      <c r="M6" s="1">
        <v>0</v>
      </c>
      <c r="N6" s="1">
        <v>0</v>
      </c>
      <c r="O6" s="1">
        <v>0</v>
      </c>
      <c r="P6" s="1">
        <f t="shared" ref="P6" si="4">SUM(I6*(M6+N6))</f>
        <v>0</v>
      </c>
      <c r="Q6" s="1">
        <f t="shared" ref="Q6" si="5">SUM(L6*(M6+N6+O6))</f>
        <v>0</v>
      </c>
      <c r="R6" s="1"/>
      <c r="S6" s="1"/>
      <c r="T6" s="1">
        <v>40000</v>
      </c>
      <c r="U6" s="2" t="s">
        <v>26</v>
      </c>
    </row>
    <row r="7" spans="1:21" ht="24.6" customHeight="1">
      <c r="A7" s="1">
        <f t="shared" si="0"/>
        <v>3</v>
      </c>
      <c r="B7" s="1">
        <v>2055</v>
      </c>
      <c r="C7" s="2" t="s">
        <v>29</v>
      </c>
      <c r="D7" s="7" t="s">
        <v>30</v>
      </c>
      <c r="E7" s="7" t="s">
        <v>23</v>
      </c>
      <c r="F7" s="7" t="s">
        <v>24</v>
      </c>
      <c r="G7" s="9" t="s">
        <v>25</v>
      </c>
      <c r="H7" s="9" t="s">
        <v>25</v>
      </c>
      <c r="I7" s="1">
        <v>0</v>
      </c>
      <c r="J7" s="9">
        <v>46023</v>
      </c>
      <c r="K7" s="9">
        <v>46053</v>
      </c>
      <c r="L7" s="1">
        <f t="shared" si="1"/>
        <v>31</v>
      </c>
      <c r="M7" s="1">
        <v>50</v>
      </c>
      <c r="N7" s="1">
        <v>428</v>
      </c>
      <c r="O7" s="1">
        <v>715</v>
      </c>
      <c r="P7" s="1">
        <f t="shared" ref="P7" si="6">SUM(I7*(M7+N7))</f>
        <v>0</v>
      </c>
      <c r="Q7" s="1">
        <f t="shared" ref="Q7" si="7">SUM(L7*(M7+N7+O7))</f>
        <v>36983</v>
      </c>
      <c r="R7" s="1"/>
      <c r="S7" s="1"/>
      <c r="T7" s="1">
        <f>(P7+Q7+R7+S7)</f>
        <v>36983</v>
      </c>
      <c r="U7" s="2" t="s">
        <v>26</v>
      </c>
    </row>
    <row r="8" spans="1:21" ht="24.6" customHeight="1">
      <c r="A8" s="1">
        <f t="shared" si="0"/>
        <v>4</v>
      </c>
      <c r="B8" s="1">
        <v>2057</v>
      </c>
      <c r="C8" s="2" t="s">
        <v>31</v>
      </c>
      <c r="D8" s="7" t="s">
        <v>30</v>
      </c>
      <c r="E8" s="7" t="s">
        <v>23</v>
      </c>
      <c r="F8" s="7" t="s">
        <v>24</v>
      </c>
      <c r="G8" s="9">
        <v>46038</v>
      </c>
      <c r="H8" s="9">
        <v>46039</v>
      </c>
      <c r="I8" s="1">
        <f>SUM(H8-G8)+1</f>
        <v>2</v>
      </c>
      <c r="J8" s="9">
        <v>46023</v>
      </c>
      <c r="K8" s="9">
        <v>46037</v>
      </c>
      <c r="L8" s="1">
        <f t="shared" si="1"/>
        <v>15</v>
      </c>
      <c r="M8" s="1">
        <v>50</v>
      </c>
      <c r="N8" s="1">
        <v>611</v>
      </c>
      <c r="O8" s="1">
        <v>661</v>
      </c>
      <c r="P8" s="1">
        <f t="shared" ref="P8:P15" si="8">SUM(I8*(M8+N8))</f>
        <v>1322</v>
      </c>
      <c r="Q8" s="1">
        <f t="shared" ref="Q8:Q9" si="9">SUM(L8*(M8+N8+O8))</f>
        <v>19830</v>
      </c>
      <c r="R8" s="1"/>
      <c r="S8" s="1"/>
      <c r="T8" s="1">
        <f t="shared" ref="T8:T60" si="10">(P8+Q8+R8+S8)</f>
        <v>21152</v>
      </c>
      <c r="U8" s="2" t="s">
        <v>26</v>
      </c>
    </row>
    <row r="9" spans="1:21" ht="24.6" customHeight="1">
      <c r="A9" s="1">
        <f t="shared" si="0"/>
        <v>5</v>
      </c>
      <c r="B9" s="1">
        <v>2053</v>
      </c>
      <c r="C9" s="2" t="s">
        <v>32</v>
      </c>
      <c r="D9" s="7" t="s">
        <v>30</v>
      </c>
      <c r="E9" s="7" t="s">
        <v>33</v>
      </c>
      <c r="F9" s="7" t="s">
        <v>24</v>
      </c>
      <c r="G9" s="9">
        <v>46045</v>
      </c>
      <c r="H9" s="9">
        <v>46046</v>
      </c>
      <c r="I9" s="1">
        <f>SUM(H9-G9)+1</f>
        <v>2</v>
      </c>
      <c r="J9" s="9">
        <v>46023</v>
      </c>
      <c r="K9" s="9">
        <v>46044</v>
      </c>
      <c r="L9" s="1">
        <f t="shared" si="1"/>
        <v>22</v>
      </c>
      <c r="M9" s="1">
        <v>50</v>
      </c>
      <c r="N9" s="1">
        <v>100</v>
      </c>
      <c r="O9" s="1">
        <v>951</v>
      </c>
      <c r="P9" s="1">
        <f t="shared" si="8"/>
        <v>300</v>
      </c>
      <c r="Q9" s="1">
        <f t="shared" si="9"/>
        <v>24222</v>
      </c>
      <c r="R9" s="1"/>
      <c r="S9" s="1"/>
      <c r="T9" s="1">
        <f t="shared" si="10"/>
        <v>24522</v>
      </c>
      <c r="U9" s="2" t="s">
        <v>26</v>
      </c>
    </row>
    <row r="10" spans="1:21" ht="24.6" customHeight="1">
      <c r="A10" s="1">
        <f t="shared" si="0"/>
        <v>6</v>
      </c>
      <c r="B10" s="1" t="s">
        <v>34</v>
      </c>
      <c r="C10" s="2" t="s">
        <v>35</v>
      </c>
      <c r="D10" s="7" t="s">
        <v>30</v>
      </c>
      <c r="E10" s="7" t="s">
        <v>23</v>
      </c>
      <c r="F10" s="7" t="s">
        <v>24</v>
      </c>
      <c r="G10" s="9" t="s">
        <v>25</v>
      </c>
      <c r="H10" s="9" t="s">
        <v>25</v>
      </c>
      <c r="I10" s="1">
        <v>0</v>
      </c>
      <c r="J10" s="9">
        <v>46023</v>
      </c>
      <c r="K10" s="9">
        <v>46053</v>
      </c>
      <c r="L10" s="1">
        <f t="shared" si="1"/>
        <v>31</v>
      </c>
      <c r="M10" s="1">
        <v>50</v>
      </c>
      <c r="N10" s="1">
        <v>592.5</v>
      </c>
      <c r="O10" s="1">
        <v>642.5</v>
      </c>
      <c r="P10" s="1">
        <f t="shared" ref="P10:P11" si="11">SUM(I10*(M10+N10))</f>
        <v>0</v>
      </c>
      <c r="Q10" s="1">
        <f t="shared" ref="Q10:Q15" si="12">SUM(L10*(M10+N10+O10))</f>
        <v>39835</v>
      </c>
      <c r="R10" s="1"/>
      <c r="S10" s="1"/>
      <c r="T10" s="1">
        <f t="shared" si="10"/>
        <v>39835</v>
      </c>
      <c r="U10" s="2" t="s">
        <v>26</v>
      </c>
    </row>
    <row r="11" spans="1:21" ht="24.6" customHeight="1">
      <c r="A11" s="1">
        <f t="shared" si="0"/>
        <v>7</v>
      </c>
      <c r="B11" s="1">
        <v>2062</v>
      </c>
      <c r="C11" s="2" t="s">
        <v>36</v>
      </c>
      <c r="D11" s="7" t="s">
        <v>30</v>
      </c>
      <c r="E11" s="7" t="s">
        <v>23</v>
      </c>
      <c r="F11" s="7" t="s">
        <v>24</v>
      </c>
      <c r="G11" s="9" t="s">
        <v>25</v>
      </c>
      <c r="H11" s="9" t="s">
        <v>25</v>
      </c>
      <c r="I11" s="1">
        <v>0</v>
      </c>
      <c r="J11" s="9">
        <v>46023</v>
      </c>
      <c r="K11" s="9">
        <v>46053</v>
      </c>
      <c r="L11" s="1">
        <f t="shared" si="1"/>
        <v>31</v>
      </c>
      <c r="M11" s="1">
        <v>100</v>
      </c>
      <c r="N11" s="1">
        <v>252.5</v>
      </c>
      <c r="O11" s="1">
        <v>822.5</v>
      </c>
      <c r="P11" s="1">
        <f t="shared" si="11"/>
        <v>0</v>
      </c>
      <c r="Q11" s="1">
        <f t="shared" si="12"/>
        <v>36425</v>
      </c>
      <c r="R11" s="1"/>
      <c r="S11" s="1"/>
      <c r="T11" s="1">
        <f t="shared" si="10"/>
        <v>36425</v>
      </c>
      <c r="U11" s="2" t="s">
        <v>26</v>
      </c>
    </row>
    <row r="12" spans="1:21" ht="25.15" customHeight="1">
      <c r="A12" s="1">
        <f t="shared" si="0"/>
        <v>8</v>
      </c>
      <c r="B12" s="1">
        <v>2061</v>
      </c>
      <c r="C12" s="2" t="s">
        <v>37</v>
      </c>
      <c r="D12" s="7" t="s">
        <v>38</v>
      </c>
      <c r="E12" s="7" t="s">
        <v>39</v>
      </c>
      <c r="F12" s="7" t="s">
        <v>24</v>
      </c>
      <c r="G12" s="9" t="s">
        <v>25</v>
      </c>
      <c r="H12" s="9" t="s">
        <v>25</v>
      </c>
      <c r="I12" s="1">
        <v>0</v>
      </c>
      <c r="J12" s="9">
        <v>46023</v>
      </c>
      <c r="K12" s="9">
        <v>46053</v>
      </c>
      <c r="L12" s="1">
        <f t="shared" si="1"/>
        <v>31</v>
      </c>
      <c r="M12" s="1">
        <v>50</v>
      </c>
      <c r="N12" s="1">
        <v>100</v>
      </c>
      <c r="O12" s="1">
        <v>218</v>
      </c>
      <c r="P12" s="1">
        <f t="shared" ref="P12:P14" si="13">SUM(I12*(M12+N12))</f>
        <v>0</v>
      </c>
      <c r="Q12" s="1">
        <f t="shared" si="12"/>
        <v>11408</v>
      </c>
      <c r="R12" s="1">
        <v>-3000</v>
      </c>
      <c r="S12" s="1"/>
      <c r="T12" s="1">
        <f t="shared" si="10"/>
        <v>8408</v>
      </c>
      <c r="U12" s="2" t="s">
        <v>26</v>
      </c>
    </row>
    <row r="13" spans="1:21" ht="25.15" customHeight="1">
      <c r="A13" s="1">
        <f t="shared" si="0"/>
        <v>9</v>
      </c>
      <c r="B13" s="1">
        <v>2063</v>
      </c>
      <c r="C13" s="2" t="s">
        <v>40</v>
      </c>
      <c r="D13" s="7" t="s">
        <v>41</v>
      </c>
      <c r="E13" s="7" t="s">
        <v>42</v>
      </c>
      <c r="F13" s="7" t="s">
        <v>24</v>
      </c>
      <c r="G13" s="9" t="s">
        <v>25</v>
      </c>
      <c r="H13" s="9" t="s">
        <v>25</v>
      </c>
      <c r="I13" s="1">
        <v>0</v>
      </c>
      <c r="J13" s="9">
        <v>46023</v>
      </c>
      <c r="K13" s="9">
        <v>46053</v>
      </c>
      <c r="L13" s="1">
        <f t="shared" si="1"/>
        <v>31</v>
      </c>
      <c r="M13" s="1">
        <v>50</v>
      </c>
      <c r="N13" s="1">
        <v>50</v>
      </c>
      <c r="O13" s="1">
        <v>145</v>
      </c>
      <c r="P13" s="1">
        <f t="shared" si="13"/>
        <v>0</v>
      </c>
      <c r="Q13" s="1">
        <f t="shared" si="12"/>
        <v>7595</v>
      </c>
      <c r="R13" s="1">
        <v>-4000</v>
      </c>
      <c r="S13" s="1"/>
      <c r="T13" s="1">
        <f t="shared" si="10"/>
        <v>3595</v>
      </c>
      <c r="U13" s="2" t="s">
        <v>26</v>
      </c>
    </row>
    <row r="14" spans="1:21" ht="25.15" customHeight="1">
      <c r="A14" s="1">
        <v>11</v>
      </c>
      <c r="B14" s="1">
        <v>2060</v>
      </c>
      <c r="C14" s="2" t="s">
        <v>43</v>
      </c>
      <c r="D14" s="7" t="s">
        <v>44</v>
      </c>
      <c r="E14" s="7" t="s">
        <v>42</v>
      </c>
      <c r="F14" s="7" t="s">
        <v>24</v>
      </c>
      <c r="G14" s="9" t="s">
        <v>25</v>
      </c>
      <c r="H14" s="9" t="s">
        <v>25</v>
      </c>
      <c r="I14" s="1">
        <v>0</v>
      </c>
      <c r="J14" s="9">
        <v>46023</v>
      </c>
      <c r="K14" s="9">
        <v>46053</v>
      </c>
      <c r="L14" s="1">
        <f t="shared" si="1"/>
        <v>31</v>
      </c>
      <c r="M14" s="1">
        <v>50</v>
      </c>
      <c r="N14" s="1">
        <v>100</v>
      </c>
      <c r="O14" s="1">
        <v>951</v>
      </c>
      <c r="P14" s="1">
        <f t="shared" si="13"/>
        <v>0</v>
      </c>
      <c r="Q14" s="1">
        <f t="shared" si="12"/>
        <v>34131</v>
      </c>
      <c r="R14" s="1"/>
      <c r="S14" s="1"/>
      <c r="T14" s="1">
        <f t="shared" si="10"/>
        <v>34131</v>
      </c>
      <c r="U14" s="2" t="s">
        <v>26</v>
      </c>
    </row>
    <row r="15" spans="1:21" ht="25.15" customHeight="1">
      <c r="A15" s="1">
        <f t="shared" si="0"/>
        <v>11</v>
      </c>
      <c r="B15" s="1">
        <v>2054</v>
      </c>
      <c r="C15" s="2" t="s">
        <v>45</v>
      </c>
      <c r="D15" s="7" t="s">
        <v>44</v>
      </c>
      <c r="E15" s="7" t="s">
        <v>33</v>
      </c>
      <c r="F15" s="7" t="s">
        <v>24</v>
      </c>
      <c r="G15" s="9" t="s">
        <v>25</v>
      </c>
      <c r="H15" s="9" t="s">
        <v>25</v>
      </c>
      <c r="I15" s="1">
        <v>0</v>
      </c>
      <c r="J15" s="9">
        <v>46023</v>
      </c>
      <c r="K15" s="9">
        <v>46053</v>
      </c>
      <c r="L15" s="1">
        <f t="shared" si="1"/>
        <v>31</v>
      </c>
      <c r="M15" s="1">
        <v>50</v>
      </c>
      <c r="N15" s="1">
        <v>100</v>
      </c>
      <c r="O15" s="1">
        <v>951</v>
      </c>
      <c r="P15" s="1">
        <f t="shared" si="8"/>
        <v>0</v>
      </c>
      <c r="Q15" s="1">
        <f t="shared" si="12"/>
        <v>34131</v>
      </c>
      <c r="R15" s="1"/>
      <c r="S15" s="1"/>
      <c r="T15" s="1">
        <f t="shared" si="10"/>
        <v>34131</v>
      </c>
      <c r="U15" s="2" t="s">
        <v>26</v>
      </c>
    </row>
    <row r="16" spans="1:21" ht="24" customHeight="1">
      <c r="A16" s="1">
        <f t="shared" si="0"/>
        <v>12</v>
      </c>
      <c r="B16" s="1">
        <v>2051</v>
      </c>
      <c r="C16" s="2" t="s">
        <v>46</v>
      </c>
      <c r="D16" s="7" t="s">
        <v>47</v>
      </c>
      <c r="E16" s="7" t="s">
        <v>48</v>
      </c>
      <c r="F16" s="7" t="s">
        <v>24</v>
      </c>
      <c r="G16" s="9" t="s">
        <v>25</v>
      </c>
      <c r="H16" s="9" t="s">
        <v>25</v>
      </c>
      <c r="I16" s="1">
        <v>0</v>
      </c>
      <c r="J16" s="9">
        <v>46023</v>
      </c>
      <c r="K16" s="9">
        <v>46053</v>
      </c>
      <c r="L16" s="1">
        <f t="shared" si="1"/>
        <v>31</v>
      </c>
      <c r="M16" s="1">
        <v>22.5</v>
      </c>
      <c r="N16" s="1">
        <v>22.5</v>
      </c>
      <c r="O16" s="1">
        <v>29</v>
      </c>
      <c r="P16" s="1">
        <f t="shared" ref="P16:P20" si="14">SUM(I16*(M16+N16))</f>
        <v>0</v>
      </c>
      <c r="Q16" s="1">
        <f t="shared" ref="Q16:Q20" si="15">SUM(L16*(M16+N16+O16))</f>
        <v>2294</v>
      </c>
      <c r="R16" s="1"/>
      <c r="S16" s="1"/>
      <c r="T16" s="1">
        <f t="shared" si="10"/>
        <v>2294</v>
      </c>
      <c r="U16" s="2" t="s">
        <v>49</v>
      </c>
    </row>
    <row r="17" spans="1:21" ht="25.15" customHeight="1">
      <c r="A17" s="1">
        <f t="shared" si="0"/>
        <v>13</v>
      </c>
      <c r="B17" s="1">
        <v>2052</v>
      </c>
      <c r="C17" s="2" t="s">
        <v>50</v>
      </c>
      <c r="D17" s="7" t="s">
        <v>47</v>
      </c>
      <c r="E17" s="7" t="s">
        <v>48</v>
      </c>
      <c r="F17" s="7" t="s">
        <v>24</v>
      </c>
      <c r="G17" s="9" t="s">
        <v>25</v>
      </c>
      <c r="H17" s="9" t="s">
        <v>25</v>
      </c>
      <c r="I17" s="1">
        <v>0</v>
      </c>
      <c r="J17" s="9">
        <v>46023</v>
      </c>
      <c r="K17" s="9">
        <v>46050</v>
      </c>
      <c r="L17" s="1">
        <f t="shared" si="1"/>
        <v>28</v>
      </c>
      <c r="M17" s="1">
        <v>22.5</v>
      </c>
      <c r="N17" s="1">
        <v>22.5</v>
      </c>
      <c r="O17" s="1">
        <v>29</v>
      </c>
      <c r="P17" s="1">
        <f t="shared" si="14"/>
        <v>0</v>
      </c>
      <c r="Q17" s="1">
        <f t="shared" si="15"/>
        <v>2072</v>
      </c>
      <c r="R17" s="1">
        <v>-459.1</v>
      </c>
      <c r="S17" s="1"/>
      <c r="T17" s="1">
        <f t="shared" si="10"/>
        <v>1612.9</v>
      </c>
      <c r="U17" s="2" t="s">
        <v>49</v>
      </c>
    </row>
    <row r="18" spans="1:21" ht="25.15" customHeight="1">
      <c r="A18" s="1">
        <f t="shared" si="0"/>
        <v>14</v>
      </c>
      <c r="B18" s="1">
        <v>2064</v>
      </c>
      <c r="C18" s="2" t="s">
        <v>51</v>
      </c>
      <c r="D18" s="7" t="s">
        <v>52</v>
      </c>
      <c r="E18" s="7" t="s">
        <v>42</v>
      </c>
      <c r="F18" s="7" t="s">
        <v>24</v>
      </c>
      <c r="G18" s="9">
        <v>46023</v>
      </c>
      <c r="H18" s="9">
        <v>46027</v>
      </c>
      <c r="I18" s="1">
        <f>SUM(H18-G18)+1</f>
        <v>5</v>
      </c>
      <c r="J18" s="9">
        <v>46028</v>
      </c>
      <c r="K18" s="9">
        <v>46053</v>
      </c>
      <c r="L18" s="1">
        <f t="shared" si="1"/>
        <v>26</v>
      </c>
      <c r="M18" s="1">
        <v>22.5</v>
      </c>
      <c r="N18" s="1">
        <v>22.5</v>
      </c>
      <c r="O18" s="1">
        <v>29</v>
      </c>
      <c r="P18" s="1">
        <f t="shared" ref="P18" si="16">SUM(I18*(M18+N18))</f>
        <v>225</v>
      </c>
      <c r="Q18" s="1">
        <f t="shared" ref="Q18" si="17">SUM(L18*(M18+N18+O18))</f>
        <v>1924</v>
      </c>
      <c r="R18" s="1"/>
      <c r="S18" s="1"/>
      <c r="T18" s="1">
        <f t="shared" si="10"/>
        <v>2149</v>
      </c>
      <c r="U18" s="2" t="s">
        <v>49</v>
      </c>
    </row>
    <row r="19" spans="1:21" ht="24" customHeight="1">
      <c r="A19" s="1">
        <f t="shared" si="0"/>
        <v>15</v>
      </c>
      <c r="B19" s="1">
        <v>2001</v>
      </c>
      <c r="C19" s="2" t="s">
        <v>53</v>
      </c>
      <c r="D19" s="7" t="s">
        <v>54</v>
      </c>
      <c r="E19" s="7" t="s">
        <v>55</v>
      </c>
      <c r="F19" s="7" t="s">
        <v>24</v>
      </c>
      <c r="G19" s="9">
        <v>46373</v>
      </c>
      <c r="H19" s="9">
        <v>46373</v>
      </c>
      <c r="I19" s="1">
        <f t="shared" ref="I19" si="18">SUM(H19-G19)+1</f>
        <v>1</v>
      </c>
      <c r="J19" s="9">
        <v>46009</v>
      </c>
      <c r="K19" s="9">
        <v>46053</v>
      </c>
      <c r="L19" s="1">
        <f t="shared" si="1"/>
        <v>45</v>
      </c>
      <c r="M19" s="1">
        <v>50</v>
      </c>
      <c r="N19" s="1">
        <v>50</v>
      </c>
      <c r="O19" s="1">
        <v>66.5</v>
      </c>
      <c r="P19" s="1">
        <f t="shared" ref="P19" si="19">SUM(I19*(M19+N19))</f>
        <v>100</v>
      </c>
      <c r="Q19" s="1">
        <f t="shared" ref="Q19" si="20">SUM(L19*(M19+N19+O19))</f>
        <v>7492.5</v>
      </c>
      <c r="R19" s="1">
        <f>(938.5*L19)</f>
        <v>42232.5</v>
      </c>
      <c r="S19" s="1"/>
      <c r="T19" s="1">
        <f t="shared" si="10"/>
        <v>49825</v>
      </c>
      <c r="U19" s="2" t="s">
        <v>26</v>
      </c>
    </row>
    <row r="20" spans="1:21" ht="24.6" customHeight="1">
      <c r="A20" s="1">
        <f t="shared" si="0"/>
        <v>16</v>
      </c>
      <c r="B20" s="1" t="s">
        <v>56</v>
      </c>
      <c r="C20" s="2" t="s">
        <v>57</v>
      </c>
      <c r="D20" s="7" t="s">
        <v>58</v>
      </c>
      <c r="E20" s="7" t="s">
        <v>59</v>
      </c>
      <c r="F20" s="7" t="s">
        <v>59</v>
      </c>
      <c r="G20" s="9" t="s">
        <v>25</v>
      </c>
      <c r="H20" s="9" t="s">
        <v>25</v>
      </c>
      <c r="I20" s="1">
        <v>0</v>
      </c>
      <c r="J20" s="9">
        <v>46023</v>
      </c>
      <c r="K20" s="9">
        <v>46053</v>
      </c>
      <c r="L20" s="1">
        <f t="shared" si="1"/>
        <v>31</v>
      </c>
      <c r="M20" s="1">
        <v>50</v>
      </c>
      <c r="N20" s="1">
        <v>50</v>
      </c>
      <c r="O20" s="1">
        <v>100</v>
      </c>
      <c r="P20" s="1">
        <f t="shared" si="14"/>
        <v>0</v>
      </c>
      <c r="Q20" s="1">
        <f t="shared" si="15"/>
        <v>6200</v>
      </c>
      <c r="R20" s="1"/>
      <c r="S20" s="1"/>
      <c r="T20" s="1">
        <f t="shared" si="10"/>
        <v>6200</v>
      </c>
      <c r="U20" s="2" t="s">
        <v>26</v>
      </c>
    </row>
    <row r="21" spans="1:21" ht="24.6" customHeight="1">
      <c r="A21" s="1">
        <f t="shared" si="0"/>
        <v>17</v>
      </c>
      <c r="B21" s="1">
        <v>3085</v>
      </c>
      <c r="C21" s="2" t="s">
        <v>60</v>
      </c>
      <c r="D21" s="7" t="s">
        <v>61</v>
      </c>
      <c r="E21" s="7" t="s">
        <v>62</v>
      </c>
      <c r="F21" s="7" t="s">
        <v>62</v>
      </c>
      <c r="G21" s="9" t="s">
        <v>25</v>
      </c>
      <c r="H21" s="9" t="s">
        <v>25</v>
      </c>
      <c r="I21" s="1">
        <v>0</v>
      </c>
      <c r="J21" s="9">
        <v>46023</v>
      </c>
      <c r="K21" s="9">
        <v>46046</v>
      </c>
      <c r="L21" s="1">
        <f t="shared" si="1"/>
        <v>24</v>
      </c>
      <c r="M21" s="1">
        <v>33.5</v>
      </c>
      <c r="N21" s="1">
        <v>66.5</v>
      </c>
      <c r="O21" s="1">
        <v>200</v>
      </c>
      <c r="P21" s="1">
        <f t="shared" ref="P21" si="21">SUM(I21*(M21+N21))</f>
        <v>0</v>
      </c>
      <c r="Q21" s="1">
        <f t="shared" ref="Q21" si="22">SUM(L21*(M21+N21+O21))</f>
        <v>7200</v>
      </c>
      <c r="R21" s="1"/>
      <c r="S21" s="1"/>
      <c r="T21" s="1">
        <f t="shared" si="10"/>
        <v>7200</v>
      </c>
      <c r="U21" s="2" t="s">
        <v>26</v>
      </c>
    </row>
    <row r="22" spans="1:21" ht="24.6" customHeight="1">
      <c r="A22" s="1">
        <f t="shared" si="0"/>
        <v>18</v>
      </c>
      <c r="B22" s="1">
        <v>3093</v>
      </c>
      <c r="C22" s="2" t="s">
        <v>63</v>
      </c>
      <c r="D22" s="7" t="s">
        <v>64</v>
      </c>
      <c r="E22" s="7" t="s">
        <v>62</v>
      </c>
      <c r="F22" s="7" t="s">
        <v>62</v>
      </c>
      <c r="G22" s="9" t="s">
        <v>25</v>
      </c>
      <c r="H22" s="9" t="s">
        <v>25</v>
      </c>
      <c r="I22" s="1">
        <v>0</v>
      </c>
      <c r="J22" s="9">
        <v>46023</v>
      </c>
      <c r="K22" s="9">
        <v>46024</v>
      </c>
      <c r="L22" s="1">
        <f t="shared" si="1"/>
        <v>2</v>
      </c>
      <c r="M22" s="1">
        <v>33.5</v>
      </c>
      <c r="N22" s="1">
        <v>66.5</v>
      </c>
      <c r="O22" s="1">
        <v>150</v>
      </c>
      <c r="P22" s="1">
        <f t="shared" ref="P22:P25" si="23">SUM(I22*(M22+N22))</f>
        <v>0</v>
      </c>
      <c r="Q22" s="1">
        <f t="shared" ref="Q22:Q25" si="24">SUM(L22*(M22+N22+O22))</f>
        <v>500</v>
      </c>
      <c r="R22" s="1"/>
      <c r="S22" s="1">
        <v>3082.19</v>
      </c>
      <c r="T22" s="1">
        <f t="shared" si="10"/>
        <v>3582.19</v>
      </c>
      <c r="U22" s="2" t="s">
        <v>26</v>
      </c>
    </row>
    <row r="23" spans="1:21" ht="24.6" customHeight="1">
      <c r="A23" s="1">
        <f t="shared" si="0"/>
        <v>19</v>
      </c>
      <c r="B23" s="1">
        <v>3092</v>
      </c>
      <c r="C23" s="2" t="s">
        <v>65</v>
      </c>
      <c r="D23" s="7" t="s">
        <v>64</v>
      </c>
      <c r="E23" s="7" t="s">
        <v>62</v>
      </c>
      <c r="F23" s="7" t="s">
        <v>62</v>
      </c>
      <c r="G23" s="9" t="s">
        <v>25</v>
      </c>
      <c r="H23" s="9" t="s">
        <v>25</v>
      </c>
      <c r="I23" s="1">
        <v>0</v>
      </c>
      <c r="J23" s="9">
        <v>46023</v>
      </c>
      <c r="K23" s="9">
        <v>46053</v>
      </c>
      <c r="L23" s="1">
        <f t="shared" si="1"/>
        <v>31</v>
      </c>
      <c r="M23" s="1">
        <v>50</v>
      </c>
      <c r="N23" s="1">
        <v>50</v>
      </c>
      <c r="O23" s="1">
        <v>150</v>
      </c>
      <c r="P23" s="1">
        <f t="shared" si="23"/>
        <v>0</v>
      </c>
      <c r="Q23" s="1">
        <f t="shared" si="24"/>
        <v>7750</v>
      </c>
      <c r="R23" s="1"/>
      <c r="S23" s="1">
        <v>3082.19</v>
      </c>
      <c r="T23" s="1">
        <f t="shared" si="10"/>
        <v>10832.19</v>
      </c>
      <c r="U23" s="2" t="s">
        <v>26</v>
      </c>
    </row>
    <row r="24" spans="1:21" ht="24.6" customHeight="1">
      <c r="A24" s="1">
        <f t="shared" si="0"/>
        <v>20</v>
      </c>
      <c r="B24" s="1">
        <v>3089</v>
      </c>
      <c r="C24" s="2" t="s">
        <v>66</v>
      </c>
      <c r="D24" s="7" t="s">
        <v>67</v>
      </c>
      <c r="E24" s="7" t="s">
        <v>62</v>
      </c>
      <c r="F24" s="7" t="s">
        <v>62</v>
      </c>
      <c r="G24" s="9">
        <v>46026</v>
      </c>
      <c r="H24" s="9">
        <v>46027</v>
      </c>
      <c r="I24" s="1">
        <f>SUM(H24-G24)+1</f>
        <v>2</v>
      </c>
      <c r="J24" s="9">
        <v>46023</v>
      </c>
      <c r="K24" s="9">
        <v>46025</v>
      </c>
      <c r="L24" s="1">
        <f t="shared" si="1"/>
        <v>3</v>
      </c>
      <c r="M24" s="1">
        <v>22.5</v>
      </c>
      <c r="N24" s="1">
        <v>22.5</v>
      </c>
      <c r="O24" s="1">
        <v>122</v>
      </c>
      <c r="P24" s="1">
        <f t="shared" si="23"/>
        <v>90</v>
      </c>
      <c r="Q24" s="1">
        <f t="shared" si="24"/>
        <v>501</v>
      </c>
      <c r="R24" s="1"/>
      <c r="S24" s="1"/>
      <c r="T24" s="1">
        <f t="shared" si="10"/>
        <v>591</v>
      </c>
      <c r="U24" s="2" t="s">
        <v>26</v>
      </c>
    </row>
    <row r="25" spans="1:21" ht="24" customHeight="1">
      <c r="A25" s="1">
        <f t="shared" si="0"/>
        <v>21</v>
      </c>
      <c r="B25" s="1">
        <v>3090</v>
      </c>
      <c r="C25" s="2" t="s">
        <v>68</v>
      </c>
      <c r="D25" s="7" t="s">
        <v>69</v>
      </c>
      <c r="E25" s="7" t="s">
        <v>62</v>
      </c>
      <c r="F25" s="7" t="s">
        <v>62</v>
      </c>
      <c r="G25" s="9" t="s">
        <v>25</v>
      </c>
      <c r="H25" s="9" t="s">
        <v>25</v>
      </c>
      <c r="I25" s="1">
        <v>0</v>
      </c>
      <c r="J25" s="9">
        <v>46023</v>
      </c>
      <c r="K25" s="9">
        <v>46053</v>
      </c>
      <c r="L25" s="1">
        <f t="shared" si="1"/>
        <v>31</v>
      </c>
      <c r="M25" s="1">
        <v>33.5</v>
      </c>
      <c r="N25" s="1">
        <v>66.5</v>
      </c>
      <c r="O25" s="1">
        <v>250</v>
      </c>
      <c r="P25" s="1">
        <f t="shared" si="23"/>
        <v>0</v>
      </c>
      <c r="Q25" s="1">
        <f t="shared" si="24"/>
        <v>10850</v>
      </c>
      <c r="R25" s="1"/>
      <c r="S25" s="1"/>
      <c r="T25" s="1">
        <f t="shared" si="10"/>
        <v>10850</v>
      </c>
      <c r="U25" s="2" t="s">
        <v>26</v>
      </c>
    </row>
    <row r="26" spans="1:21" ht="24.6" customHeight="1">
      <c r="A26" s="1">
        <f t="shared" si="0"/>
        <v>22</v>
      </c>
      <c r="B26" s="1">
        <v>3087</v>
      </c>
      <c r="C26" s="2" t="s">
        <v>70</v>
      </c>
      <c r="D26" s="7" t="s">
        <v>69</v>
      </c>
      <c r="E26" s="7" t="s">
        <v>62</v>
      </c>
      <c r="F26" s="7" t="s">
        <v>62</v>
      </c>
      <c r="G26" s="9" t="s">
        <v>25</v>
      </c>
      <c r="H26" s="9" t="s">
        <v>25</v>
      </c>
      <c r="I26" s="1">
        <v>0</v>
      </c>
      <c r="J26" s="9">
        <v>46023</v>
      </c>
      <c r="K26" s="9">
        <v>46053</v>
      </c>
      <c r="L26" s="1">
        <f t="shared" si="1"/>
        <v>31</v>
      </c>
      <c r="M26" s="1">
        <v>33.5</v>
      </c>
      <c r="N26" s="1">
        <v>66.5</v>
      </c>
      <c r="O26" s="1">
        <v>234</v>
      </c>
      <c r="P26" s="1">
        <f t="shared" ref="P26:P67" si="25">SUM(I26*(M26+N26))</f>
        <v>0</v>
      </c>
      <c r="Q26" s="1">
        <f t="shared" ref="Q26:Q67" si="26">SUM(L26*(M26+N26+O26))</f>
        <v>10354</v>
      </c>
      <c r="R26" s="1"/>
      <c r="S26" s="1"/>
      <c r="T26" s="1">
        <f t="shared" si="10"/>
        <v>10354</v>
      </c>
      <c r="U26" s="2" t="s">
        <v>26</v>
      </c>
    </row>
    <row r="27" spans="1:21" ht="24.6" customHeight="1">
      <c r="A27" s="1">
        <f t="shared" si="0"/>
        <v>23</v>
      </c>
      <c r="B27" s="1">
        <v>3086</v>
      </c>
      <c r="C27" s="2" t="s">
        <v>71</v>
      </c>
      <c r="D27" s="7" t="s">
        <v>72</v>
      </c>
      <c r="E27" s="7" t="s">
        <v>62</v>
      </c>
      <c r="F27" s="7" t="s">
        <v>62</v>
      </c>
      <c r="G27" s="9" t="s">
        <v>25</v>
      </c>
      <c r="H27" s="9" t="s">
        <v>25</v>
      </c>
      <c r="I27" s="1">
        <v>0</v>
      </c>
      <c r="J27" s="9">
        <v>46023</v>
      </c>
      <c r="K27" s="9">
        <v>46053</v>
      </c>
      <c r="L27" s="1">
        <f t="shared" si="1"/>
        <v>31</v>
      </c>
      <c r="M27" s="1">
        <v>22.5</v>
      </c>
      <c r="N27" s="1">
        <v>22.5</v>
      </c>
      <c r="O27" s="1">
        <v>105</v>
      </c>
      <c r="P27" s="1">
        <f t="shared" si="25"/>
        <v>0</v>
      </c>
      <c r="Q27" s="1">
        <f t="shared" si="26"/>
        <v>4650</v>
      </c>
      <c r="R27" s="1"/>
      <c r="S27" s="1"/>
      <c r="T27" s="1">
        <f t="shared" si="10"/>
        <v>4650</v>
      </c>
      <c r="U27" s="2" t="s">
        <v>26</v>
      </c>
    </row>
    <row r="28" spans="1:21" ht="24" customHeight="1">
      <c r="A28" s="1">
        <f t="shared" si="0"/>
        <v>24</v>
      </c>
      <c r="B28" s="1">
        <v>3100</v>
      </c>
      <c r="C28" s="2" t="s">
        <v>73</v>
      </c>
      <c r="D28" s="7" t="s">
        <v>64</v>
      </c>
      <c r="E28" s="7" t="s">
        <v>62</v>
      </c>
      <c r="F28" s="7" t="s">
        <v>62</v>
      </c>
      <c r="G28" s="9" t="s">
        <v>25</v>
      </c>
      <c r="H28" s="9" t="s">
        <v>25</v>
      </c>
      <c r="I28" s="1">
        <v>0</v>
      </c>
      <c r="J28" s="9">
        <v>46023</v>
      </c>
      <c r="K28" s="9">
        <v>46053</v>
      </c>
      <c r="L28" s="1">
        <f t="shared" si="1"/>
        <v>31</v>
      </c>
      <c r="M28" s="1">
        <v>33.5</v>
      </c>
      <c r="N28" s="1">
        <v>66.5</v>
      </c>
      <c r="O28" s="1">
        <v>200</v>
      </c>
      <c r="P28" s="1">
        <f t="shared" si="25"/>
        <v>0</v>
      </c>
      <c r="Q28" s="1">
        <f t="shared" si="26"/>
        <v>9300</v>
      </c>
      <c r="R28" s="1"/>
      <c r="S28" s="1"/>
      <c r="T28" s="1">
        <f t="shared" si="10"/>
        <v>9300</v>
      </c>
      <c r="U28" s="2" t="s">
        <v>26</v>
      </c>
    </row>
    <row r="29" spans="1:21" ht="24.6" customHeight="1">
      <c r="A29" s="1">
        <f t="shared" si="0"/>
        <v>25</v>
      </c>
      <c r="B29" s="1">
        <v>3088</v>
      </c>
      <c r="C29" s="2" t="s">
        <v>74</v>
      </c>
      <c r="D29" s="7" t="s">
        <v>72</v>
      </c>
      <c r="E29" s="7" t="s">
        <v>62</v>
      </c>
      <c r="F29" s="7" t="s">
        <v>62</v>
      </c>
      <c r="G29" s="9">
        <v>46047</v>
      </c>
      <c r="H29" s="9">
        <v>46048</v>
      </c>
      <c r="I29" s="1">
        <f>SUM(H29-G29)+1</f>
        <v>2</v>
      </c>
      <c r="J29" s="9">
        <v>46023</v>
      </c>
      <c r="K29" s="9">
        <v>46046</v>
      </c>
      <c r="L29" s="1">
        <f t="shared" si="1"/>
        <v>24</v>
      </c>
      <c r="M29" s="1">
        <v>33.5</v>
      </c>
      <c r="N29" s="1">
        <v>66.5</v>
      </c>
      <c r="O29" s="1">
        <v>139</v>
      </c>
      <c r="P29" s="1">
        <f t="shared" si="25"/>
        <v>200</v>
      </c>
      <c r="Q29" s="1">
        <f t="shared" si="26"/>
        <v>5736</v>
      </c>
      <c r="R29" s="1"/>
      <c r="S29" s="1">
        <v>1571.51</v>
      </c>
      <c r="T29" s="1">
        <f t="shared" si="10"/>
        <v>7507.51</v>
      </c>
      <c r="U29" s="2" t="s">
        <v>26</v>
      </c>
    </row>
    <row r="30" spans="1:21" ht="24.6" customHeight="1">
      <c r="A30" s="1">
        <f t="shared" si="0"/>
        <v>26</v>
      </c>
      <c r="B30" s="1">
        <v>3101</v>
      </c>
      <c r="C30" s="2" t="s">
        <v>75</v>
      </c>
      <c r="D30" s="7" t="s">
        <v>76</v>
      </c>
      <c r="E30" s="7" t="s">
        <v>62</v>
      </c>
      <c r="F30" s="7" t="s">
        <v>62</v>
      </c>
      <c r="G30" s="9" t="s">
        <v>25</v>
      </c>
      <c r="H30" s="9" t="s">
        <v>25</v>
      </c>
      <c r="I30" s="1">
        <v>0</v>
      </c>
      <c r="J30" s="9">
        <v>46023</v>
      </c>
      <c r="K30" s="9">
        <v>46053</v>
      </c>
      <c r="L30" s="1">
        <f t="shared" si="1"/>
        <v>31</v>
      </c>
      <c r="M30" s="1">
        <v>50</v>
      </c>
      <c r="N30" s="1">
        <v>50</v>
      </c>
      <c r="O30" s="1">
        <v>100</v>
      </c>
      <c r="P30" s="1">
        <f t="shared" si="25"/>
        <v>0</v>
      </c>
      <c r="Q30" s="1">
        <f t="shared" si="26"/>
        <v>6200</v>
      </c>
      <c r="R30" s="1"/>
      <c r="S30" s="1">
        <v>2465.75</v>
      </c>
      <c r="T30" s="1">
        <f t="shared" si="10"/>
        <v>8665.75</v>
      </c>
      <c r="U30" s="2" t="s">
        <v>26</v>
      </c>
    </row>
    <row r="31" spans="1:21" ht="25.15" customHeight="1">
      <c r="A31" s="1">
        <f t="shared" si="0"/>
        <v>27</v>
      </c>
      <c r="B31" s="1" t="s">
        <v>77</v>
      </c>
      <c r="C31" s="2" t="s">
        <v>78</v>
      </c>
      <c r="D31" s="7" t="s">
        <v>69</v>
      </c>
      <c r="E31" s="7" t="s">
        <v>62</v>
      </c>
      <c r="F31" s="7" t="s">
        <v>62</v>
      </c>
      <c r="G31" s="9" t="s">
        <v>25</v>
      </c>
      <c r="H31" s="9" t="s">
        <v>25</v>
      </c>
      <c r="I31" s="1">
        <v>0</v>
      </c>
      <c r="J31" s="9">
        <v>46023</v>
      </c>
      <c r="K31" s="9">
        <v>46053</v>
      </c>
      <c r="L31" s="1">
        <f t="shared" si="1"/>
        <v>31</v>
      </c>
      <c r="M31" s="1">
        <v>33.5</v>
      </c>
      <c r="N31" s="1">
        <v>66.5</v>
      </c>
      <c r="O31" s="1">
        <v>234</v>
      </c>
      <c r="P31" s="1">
        <f t="shared" ref="P31:P45" si="27">SUM(I31*(M31+N31))</f>
        <v>0</v>
      </c>
      <c r="Q31" s="1">
        <f t="shared" ref="Q31:Q45" si="28">SUM(L31*(M31+N31+O31))</f>
        <v>10354</v>
      </c>
      <c r="R31" s="1"/>
      <c r="S31" s="1"/>
      <c r="T31" s="1">
        <f t="shared" si="10"/>
        <v>10354</v>
      </c>
      <c r="U31" s="2" t="s">
        <v>26</v>
      </c>
    </row>
    <row r="32" spans="1:21" ht="24.6" customHeight="1">
      <c r="A32" s="1">
        <f t="shared" si="0"/>
        <v>28</v>
      </c>
      <c r="B32" s="1" t="s">
        <v>79</v>
      </c>
      <c r="C32" s="2" t="s">
        <v>80</v>
      </c>
      <c r="D32" s="7" t="s">
        <v>64</v>
      </c>
      <c r="E32" s="7" t="s">
        <v>62</v>
      </c>
      <c r="F32" s="7" t="s">
        <v>62</v>
      </c>
      <c r="G32" s="9" t="s">
        <v>25</v>
      </c>
      <c r="H32" s="9" t="s">
        <v>25</v>
      </c>
      <c r="I32" s="1">
        <v>0</v>
      </c>
      <c r="J32" s="9">
        <v>46023</v>
      </c>
      <c r="K32" s="9">
        <v>46053</v>
      </c>
      <c r="L32" s="1">
        <f t="shared" si="1"/>
        <v>31</v>
      </c>
      <c r="M32" s="1">
        <v>33.5</v>
      </c>
      <c r="N32" s="1">
        <v>66.5</v>
      </c>
      <c r="O32" s="1">
        <v>134</v>
      </c>
      <c r="P32" s="1">
        <f t="shared" si="27"/>
        <v>0</v>
      </c>
      <c r="Q32" s="1">
        <f t="shared" si="28"/>
        <v>7254</v>
      </c>
      <c r="R32" s="1"/>
      <c r="S32" s="1">
        <v>2211.7800000000002</v>
      </c>
      <c r="T32" s="1">
        <f t="shared" si="10"/>
        <v>9465.7800000000007</v>
      </c>
      <c r="U32" s="2" t="s">
        <v>26</v>
      </c>
    </row>
    <row r="33" spans="1:21" ht="24.6" customHeight="1">
      <c r="A33" s="1">
        <v>27</v>
      </c>
      <c r="B33" s="1">
        <v>3096</v>
      </c>
      <c r="C33" s="2" t="s">
        <v>81</v>
      </c>
      <c r="D33" s="7" t="s">
        <v>64</v>
      </c>
      <c r="E33" s="7" t="s">
        <v>62</v>
      </c>
      <c r="F33" s="7" t="s">
        <v>62</v>
      </c>
      <c r="G33" s="9" t="s">
        <v>25</v>
      </c>
      <c r="H33" s="9" t="s">
        <v>25</v>
      </c>
      <c r="I33" s="1">
        <v>0</v>
      </c>
      <c r="J33" s="9">
        <v>46023</v>
      </c>
      <c r="K33" s="9">
        <v>46053</v>
      </c>
      <c r="L33" s="1">
        <f t="shared" si="1"/>
        <v>31</v>
      </c>
      <c r="M33" s="1">
        <v>33.5</v>
      </c>
      <c r="N33" s="1">
        <v>66.5</v>
      </c>
      <c r="O33" s="1">
        <v>134</v>
      </c>
      <c r="P33" s="1">
        <f t="shared" si="27"/>
        <v>0</v>
      </c>
      <c r="Q33" s="1">
        <f t="shared" si="28"/>
        <v>7254</v>
      </c>
      <c r="R33" s="1"/>
      <c r="S33" s="1"/>
      <c r="T33" s="1">
        <f t="shared" si="10"/>
        <v>7254</v>
      </c>
      <c r="U33" s="2" t="s">
        <v>26</v>
      </c>
    </row>
    <row r="34" spans="1:21" ht="24" customHeight="1">
      <c r="A34" s="1">
        <f t="shared" si="0"/>
        <v>30</v>
      </c>
      <c r="B34" s="1" t="s">
        <v>82</v>
      </c>
      <c r="C34" s="2" t="s">
        <v>83</v>
      </c>
      <c r="D34" s="7" t="s">
        <v>69</v>
      </c>
      <c r="E34" s="7" t="s">
        <v>62</v>
      </c>
      <c r="F34" s="7" t="s">
        <v>62</v>
      </c>
      <c r="G34" s="9" t="s">
        <v>25</v>
      </c>
      <c r="H34" s="9" t="s">
        <v>25</v>
      </c>
      <c r="I34" s="1">
        <v>0</v>
      </c>
      <c r="J34" s="9">
        <v>46023</v>
      </c>
      <c r="K34" s="9">
        <v>46053</v>
      </c>
      <c r="L34" s="1">
        <f t="shared" si="1"/>
        <v>31</v>
      </c>
      <c r="M34" s="1">
        <v>33.5</v>
      </c>
      <c r="N34" s="1">
        <v>66.5</v>
      </c>
      <c r="O34" s="1">
        <v>234</v>
      </c>
      <c r="P34" s="1">
        <f t="shared" si="27"/>
        <v>0</v>
      </c>
      <c r="Q34" s="1">
        <f t="shared" si="28"/>
        <v>10354</v>
      </c>
      <c r="R34" s="1"/>
      <c r="S34" s="1">
        <v>3156.99</v>
      </c>
      <c r="T34" s="1">
        <f t="shared" si="10"/>
        <v>13510.99</v>
      </c>
      <c r="U34" s="2" t="s">
        <v>26</v>
      </c>
    </row>
    <row r="35" spans="1:21" ht="24" customHeight="1">
      <c r="A35" s="1">
        <f t="shared" si="0"/>
        <v>31</v>
      </c>
      <c r="B35" s="1" t="s">
        <v>84</v>
      </c>
      <c r="C35" s="2" t="s">
        <v>85</v>
      </c>
      <c r="D35" s="7" t="s">
        <v>86</v>
      </c>
      <c r="E35" s="7" t="s">
        <v>62</v>
      </c>
      <c r="F35" s="7" t="s">
        <v>62</v>
      </c>
      <c r="G35" s="9" t="s">
        <v>25</v>
      </c>
      <c r="H35" s="9" t="s">
        <v>25</v>
      </c>
      <c r="I35" s="1">
        <v>0</v>
      </c>
      <c r="J35" s="9">
        <v>46023</v>
      </c>
      <c r="K35" s="9">
        <v>46053</v>
      </c>
      <c r="L35" s="1">
        <f t="shared" si="1"/>
        <v>31</v>
      </c>
      <c r="M35" s="1">
        <v>33.5</v>
      </c>
      <c r="N35" s="1">
        <v>66.5</v>
      </c>
      <c r="O35" s="1">
        <v>100</v>
      </c>
      <c r="P35" s="1">
        <f t="shared" si="27"/>
        <v>0</v>
      </c>
      <c r="Q35" s="1">
        <f t="shared" si="28"/>
        <v>6200</v>
      </c>
      <c r="R35" s="1"/>
      <c r="S35" s="1"/>
      <c r="T35" s="1">
        <f t="shared" si="10"/>
        <v>6200</v>
      </c>
      <c r="U35" s="2" t="s">
        <v>26</v>
      </c>
    </row>
    <row r="36" spans="1:21" ht="24.6" customHeight="1">
      <c r="A36" s="1">
        <f t="shared" si="0"/>
        <v>32</v>
      </c>
      <c r="B36" s="1" t="s">
        <v>87</v>
      </c>
      <c r="C36" s="2" t="s">
        <v>88</v>
      </c>
      <c r="D36" s="7" t="s">
        <v>69</v>
      </c>
      <c r="E36" s="7" t="s">
        <v>62</v>
      </c>
      <c r="F36" s="7" t="s">
        <v>62</v>
      </c>
      <c r="G36" s="9" t="s">
        <v>25</v>
      </c>
      <c r="H36" s="9" t="s">
        <v>25</v>
      </c>
      <c r="I36" s="1">
        <v>0</v>
      </c>
      <c r="J36" s="9">
        <v>46023</v>
      </c>
      <c r="K36" s="9">
        <v>46053</v>
      </c>
      <c r="L36" s="1">
        <f t="shared" si="1"/>
        <v>31</v>
      </c>
      <c r="M36" s="1">
        <v>33.5</v>
      </c>
      <c r="N36" s="1">
        <v>66.5</v>
      </c>
      <c r="O36" s="1">
        <v>234</v>
      </c>
      <c r="P36" s="1">
        <f t="shared" si="27"/>
        <v>0</v>
      </c>
      <c r="Q36" s="1">
        <f t="shared" si="28"/>
        <v>10354</v>
      </c>
      <c r="R36" s="1"/>
      <c r="S36" s="1">
        <v>1715.75</v>
      </c>
      <c r="T36" s="1">
        <f t="shared" si="10"/>
        <v>12069.75</v>
      </c>
      <c r="U36" s="2" t="s">
        <v>26</v>
      </c>
    </row>
    <row r="37" spans="1:21" ht="24.6" customHeight="1">
      <c r="A37" s="1">
        <f t="shared" si="0"/>
        <v>33</v>
      </c>
      <c r="B37" s="1" t="s">
        <v>89</v>
      </c>
      <c r="C37" s="2" t="s">
        <v>90</v>
      </c>
      <c r="D37" s="7" t="s">
        <v>76</v>
      </c>
      <c r="E37" s="7" t="s">
        <v>62</v>
      </c>
      <c r="F37" s="7" t="s">
        <v>62</v>
      </c>
      <c r="G37" s="9" t="s">
        <v>25</v>
      </c>
      <c r="H37" s="9" t="s">
        <v>25</v>
      </c>
      <c r="I37" s="1">
        <v>0</v>
      </c>
      <c r="J37" s="9">
        <v>46023</v>
      </c>
      <c r="K37" s="9">
        <v>46053</v>
      </c>
      <c r="L37" s="1">
        <f t="shared" si="1"/>
        <v>31</v>
      </c>
      <c r="M37" s="1">
        <v>33.5</v>
      </c>
      <c r="N37" s="1">
        <v>66.5</v>
      </c>
      <c r="O37" s="1">
        <v>117</v>
      </c>
      <c r="P37" s="1">
        <f t="shared" si="27"/>
        <v>0</v>
      </c>
      <c r="Q37" s="1">
        <f t="shared" si="28"/>
        <v>6727</v>
      </c>
      <c r="R37" s="1"/>
      <c r="S37" s="1"/>
      <c r="T37" s="1">
        <f t="shared" si="10"/>
        <v>6727</v>
      </c>
      <c r="U37" s="2" t="s">
        <v>26</v>
      </c>
    </row>
    <row r="38" spans="1:21" ht="24.6" customHeight="1">
      <c r="A38" s="1">
        <f t="shared" si="0"/>
        <v>34</v>
      </c>
      <c r="B38" s="1" t="s">
        <v>91</v>
      </c>
      <c r="C38" s="2" t="s">
        <v>92</v>
      </c>
      <c r="D38" s="7" t="s">
        <v>93</v>
      </c>
      <c r="E38" s="7" t="s">
        <v>62</v>
      </c>
      <c r="F38" s="7" t="s">
        <v>62</v>
      </c>
      <c r="G38" s="9" t="s">
        <v>25</v>
      </c>
      <c r="H38" s="9" t="s">
        <v>25</v>
      </c>
      <c r="I38" s="1">
        <v>0</v>
      </c>
      <c r="J38" s="9">
        <v>46023</v>
      </c>
      <c r="K38" s="9">
        <v>46053</v>
      </c>
      <c r="L38" s="1">
        <f t="shared" si="1"/>
        <v>31</v>
      </c>
      <c r="M38" s="1">
        <v>33.5</v>
      </c>
      <c r="N38" s="1">
        <v>66.5</v>
      </c>
      <c r="O38" s="1">
        <v>100</v>
      </c>
      <c r="P38" s="1">
        <f t="shared" si="27"/>
        <v>0</v>
      </c>
      <c r="Q38" s="1">
        <f t="shared" si="28"/>
        <v>6200</v>
      </c>
      <c r="R38" s="1"/>
      <c r="S38" s="1"/>
      <c r="T38" s="1">
        <f t="shared" si="10"/>
        <v>6200</v>
      </c>
      <c r="U38" s="2" t="s">
        <v>26</v>
      </c>
    </row>
    <row r="39" spans="1:21" ht="24.6" customHeight="1">
      <c r="A39" s="1">
        <v>34</v>
      </c>
      <c r="B39" s="1">
        <v>3105</v>
      </c>
      <c r="C39" s="2" t="s">
        <v>94</v>
      </c>
      <c r="D39" s="7" t="s">
        <v>93</v>
      </c>
      <c r="E39" s="7" t="s">
        <v>62</v>
      </c>
      <c r="F39" s="7" t="s">
        <v>62</v>
      </c>
      <c r="G39" s="9" t="s">
        <v>25</v>
      </c>
      <c r="H39" s="9" t="s">
        <v>25</v>
      </c>
      <c r="I39" s="1">
        <v>0</v>
      </c>
      <c r="J39" s="9">
        <v>46023</v>
      </c>
      <c r="K39" s="9">
        <v>46053</v>
      </c>
      <c r="L39" s="1">
        <f t="shared" si="1"/>
        <v>31</v>
      </c>
      <c r="M39" s="1">
        <v>33.5</v>
      </c>
      <c r="N39" s="1">
        <v>33.5</v>
      </c>
      <c r="O39" s="1">
        <v>100</v>
      </c>
      <c r="P39" s="1">
        <f t="shared" si="27"/>
        <v>0</v>
      </c>
      <c r="Q39" s="1">
        <f t="shared" si="28"/>
        <v>5177</v>
      </c>
      <c r="R39" s="1"/>
      <c r="S39" s="1"/>
      <c r="T39" s="1">
        <f t="shared" si="10"/>
        <v>5177</v>
      </c>
      <c r="U39" s="2" t="s">
        <v>26</v>
      </c>
    </row>
    <row r="40" spans="1:21" ht="24.6" customHeight="1">
      <c r="A40" s="1">
        <f t="shared" si="0"/>
        <v>36</v>
      </c>
      <c r="B40" s="1" t="s">
        <v>95</v>
      </c>
      <c r="C40" s="2" t="s">
        <v>96</v>
      </c>
      <c r="D40" s="7" t="s">
        <v>64</v>
      </c>
      <c r="E40" s="7" t="s">
        <v>62</v>
      </c>
      <c r="F40" s="7" t="s">
        <v>62</v>
      </c>
      <c r="G40" s="9" t="s">
        <v>25</v>
      </c>
      <c r="H40" s="9" t="s">
        <v>25</v>
      </c>
      <c r="I40" s="1">
        <v>0</v>
      </c>
      <c r="J40" s="9">
        <v>46023</v>
      </c>
      <c r="K40" s="9">
        <v>46053</v>
      </c>
      <c r="L40" s="1">
        <f t="shared" si="1"/>
        <v>31</v>
      </c>
      <c r="M40" s="1">
        <v>33.5</v>
      </c>
      <c r="N40" s="1">
        <v>66.5</v>
      </c>
      <c r="O40" s="1">
        <v>134</v>
      </c>
      <c r="P40" s="1">
        <f t="shared" si="27"/>
        <v>0</v>
      </c>
      <c r="Q40" s="1">
        <f t="shared" si="28"/>
        <v>7254</v>
      </c>
      <c r="R40" s="1"/>
      <c r="S40" s="1"/>
      <c r="T40" s="1">
        <f t="shared" si="10"/>
        <v>7254</v>
      </c>
      <c r="U40" s="2" t="s">
        <v>26</v>
      </c>
    </row>
    <row r="41" spans="1:21" ht="24" customHeight="1">
      <c r="A41" s="1">
        <f t="shared" si="0"/>
        <v>37</v>
      </c>
      <c r="B41" s="1" t="s">
        <v>97</v>
      </c>
      <c r="C41" s="2" t="s">
        <v>98</v>
      </c>
      <c r="D41" s="7" t="s">
        <v>93</v>
      </c>
      <c r="E41" s="7" t="s">
        <v>62</v>
      </c>
      <c r="F41" s="7" t="s">
        <v>62</v>
      </c>
      <c r="G41" s="9" t="s">
        <v>25</v>
      </c>
      <c r="H41" s="9" t="s">
        <v>25</v>
      </c>
      <c r="I41" s="1">
        <v>0</v>
      </c>
      <c r="J41" s="9">
        <v>46023</v>
      </c>
      <c r="K41" s="9">
        <v>46053</v>
      </c>
      <c r="L41" s="1">
        <f t="shared" si="1"/>
        <v>31</v>
      </c>
      <c r="M41" s="1">
        <v>50</v>
      </c>
      <c r="N41" s="1">
        <v>50</v>
      </c>
      <c r="O41" s="1">
        <v>117</v>
      </c>
      <c r="P41" s="1">
        <f t="shared" si="27"/>
        <v>0</v>
      </c>
      <c r="Q41" s="1">
        <f t="shared" si="28"/>
        <v>6727</v>
      </c>
      <c r="R41" s="1"/>
      <c r="S41" s="1"/>
      <c r="T41" s="1">
        <f t="shared" si="10"/>
        <v>6727</v>
      </c>
      <c r="U41" s="2" t="s">
        <v>26</v>
      </c>
    </row>
    <row r="42" spans="1:21" ht="24.6" customHeight="1">
      <c r="A42" s="1">
        <v>37</v>
      </c>
      <c r="B42" s="1">
        <v>3107</v>
      </c>
      <c r="C42" s="2" t="s">
        <v>99</v>
      </c>
      <c r="D42" s="7" t="s">
        <v>76</v>
      </c>
      <c r="E42" s="7" t="s">
        <v>62</v>
      </c>
      <c r="F42" s="7" t="s">
        <v>62</v>
      </c>
      <c r="G42" s="9" t="s">
        <v>25</v>
      </c>
      <c r="H42" s="9" t="s">
        <v>25</v>
      </c>
      <c r="I42" s="1">
        <v>0</v>
      </c>
      <c r="J42" s="9">
        <v>46023</v>
      </c>
      <c r="K42" s="9">
        <v>46053</v>
      </c>
      <c r="L42" s="1">
        <f t="shared" si="1"/>
        <v>31</v>
      </c>
      <c r="M42" s="1">
        <v>33.5</v>
      </c>
      <c r="N42" s="1">
        <v>66.5</v>
      </c>
      <c r="O42" s="1">
        <v>117</v>
      </c>
      <c r="P42" s="1">
        <f t="shared" si="27"/>
        <v>0</v>
      </c>
      <c r="Q42" s="1">
        <f t="shared" si="28"/>
        <v>6727</v>
      </c>
      <c r="R42" s="1"/>
      <c r="S42" s="1">
        <v>1114.73</v>
      </c>
      <c r="T42" s="1">
        <f t="shared" si="10"/>
        <v>7841.73</v>
      </c>
      <c r="U42" s="2" t="s">
        <v>26</v>
      </c>
    </row>
    <row r="43" spans="1:21" ht="24" customHeight="1">
      <c r="A43" s="1">
        <f t="shared" si="0"/>
        <v>39</v>
      </c>
      <c r="B43" s="1">
        <v>3106</v>
      </c>
      <c r="C43" s="2" t="s">
        <v>100</v>
      </c>
      <c r="D43" s="7" t="s">
        <v>64</v>
      </c>
      <c r="E43" s="7" t="s">
        <v>62</v>
      </c>
      <c r="F43" s="7" t="s">
        <v>62</v>
      </c>
      <c r="G43" s="9" t="s">
        <v>25</v>
      </c>
      <c r="H43" s="9" t="s">
        <v>25</v>
      </c>
      <c r="I43" s="1">
        <v>0</v>
      </c>
      <c r="J43" s="9">
        <v>46023</v>
      </c>
      <c r="K43" s="9">
        <v>46037</v>
      </c>
      <c r="L43" s="1">
        <f t="shared" si="1"/>
        <v>15</v>
      </c>
      <c r="M43" s="1">
        <v>50</v>
      </c>
      <c r="N43" s="1">
        <v>50</v>
      </c>
      <c r="O43" s="1">
        <v>134</v>
      </c>
      <c r="P43" s="1">
        <f t="shared" si="27"/>
        <v>0</v>
      </c>
      <c r="Q43" s="1">
        <f t="shared" si="28"/>
        <v>3510</v>
      </c>
      <c r="R43" s="1"/>
      <c r="S43" s="1">
        <v>192.33</v>
      </c>
      <c r="T43" s="1">
        <f t="shared" si="10"/>
        <v>3702.33</v>
      </c>
      <c r="U43" s="2" t="s">
        <v>26</v>
      </c>
    </row>
    <row r="44" spans="1:21" ht="24.6" customHeight="1">
      <c r="A44" s="1">
        <v>39</v>
      </c>
      <c r="B44" s="1">
        <v>3114</v>
      </c>
      <c r="C44" s="2" t="s">
        <v>101</v>
      </c>
      <c r="D44" s="7" t="s">
        <v>76</v>
      </c>
      <c r="E44" s="7" t="s">
        <v>62</v>
      </c>
      <c r="F44" s="7" t="s">
        <v>62</v>
      </c>
      <c r="G44" s="9">
        <v>46047</v>
      </c>
      <c r="H44" s="9">
        <v>46048</v>
      </c>
      <c r="I44" s="1">
        <f>SUM(H44-G44)+1</f>
        <v>2</v>
      </c>
      <c r="J44" s="9">
        <v>46023</v>
      </c>
      <c r="K44" s="9">
        <v>46046</v>
      </c>
      <c r="L44" s="1">
        <f t="shared" si="1"/>
        <v>24</v>
      </c>
      <c r="M44" s="1">
        <v>50</v>
      </c>
      <c r="N44" s="1">
        <v>50</v>
      </c>
      <c r="O44" s="1">
        <v>100</v>
      </c>
      <c r="P44" s="1">
        <f t="shared" ref="P44" si="29">SUM(I44*(M44+N44))</f>
        <v>200</v>
      </c>
      <c r="Q44" s="1">
        <f t="shared" ref="Q44" si="30">SUM(L44*(M44+N44+O44))</f>
        <v>4800</v>
      </c>
      <c r="R44" s="1"/>
      <c r="S44" s="1"/>
      <c r="T44" s="1">
        <f t="shared" si="10"/>
        <v>5000</v>
      </c>
      <c r="U44" s="2" t="s">
        <v>26</v>
      </c>
    </row>
    <row r="45" spans="1:21" ht="24.6" customHeight="1">
      <c r="A45" s="1">
        <f t="shared" si="0"/>
        <v>41</v>
      </c>
      <c r="B45" s="1" t="s">
        <v>102</v>
      </c>
      <c r="C45" s="2" t="s">
        <v>103</v>
      </c>
      <c r="D45" s="7" t="s">
        <v>64</v>
      </c>
      <c r="E45" s="7" t="s">
        <v>62</v>
      </c>
      <c r="F45" s="7" t="s">
        <v>62</v>
      </c>
      <c r="G45" s="9" t="s">
        <v>25</v>
      </c>
      <c r="H45" s="9" t="s">
        <v>25</v>
      </c>
      <c r="I45" s="1">
        <v>0</v>
      </c>
      <c r="J45" s="9">
        <v>46023</v>
      </c>
      <c r="K45" s="9">
        <v>46053</v>
      </c>
      <c r="L45" s="1">
        <f t="shared" si="1"/>
        <v>31</v>
      </c>
      <c r="M45" s="1">
        <v>50</v>
      </c>
      <c r="N45" s="1">
        <v>50</v>
      </c>
      <c r="O45" s="1">
        <v>167</v>
      </c>
      <c r="P45" s="1">
        <f t="shared" si="27"/>
        <v>0</v>
      </c>
      <c r="Q45" s="1">
        <f t="shared" si="28"/>
        <v>8277</v>
      </c>
      <c r="R45" s="1"/>
      <c r="S45" s="1"/>
      <c r="T45" s="1">
        <f t="shared" si="10"/>
        <v>8277</v>
      </c>
      <c r="U45" s="2" t="s">
        <v>26</v>
      </c>
    </row>
    <row r="46" spans="1:21" ht="24.6" customHeight="1">
      <c r="A46" s="1">
        <f t="shared" si="0"/>
        <v>42</v>
      </c>
      <c r="B46" s="1" t="s">
        <v>104</v>
      </c>
      <c r="C46" s="2" t="s">
        <v>105</v>
      </c>
      <c r="D46" s="7" t="s">
        <v>64</v>
      </c>
      <c r="E46" s="7" t="s">
        <v>62</v>
      </c>
      <c r="F46" s="7" t="s">
        <v>62</v>
      </c>
      <c r="G46" s="9" t="s">
        <v>25</v>
      </c>
      <c r="H46" s="9" t="s">
        <v>25</v>
      </c>
      <c r="I46" s="1">
        <v>0</v>
      </c>
      <c r="J46" s="9">
        <v>46023</v>
      </c>
      <c r="K46" s="9">
        <v>46053</v>
      </c>
      <c r="L46" s="1">
        <f t="shared" si="1"/>
        <v>31</v>
      </c>
      <c r="M46" s="1">
        <v>50</v>
      </c>
      <c r="N46" s="1">
        <v>50</v>
      </c>
      <c r="O46" s="1">
        <v>167</v>
      </c>
      <c r="P46" s="1">
        <f t="shared" ref="P46:P49" si="31">SUM(I46*(M46+N46))</f>
        <v>0</v>
      </c>
      <c r="Q46" s="1">
        <f t="shared" ref="Q46:Q49" si="32">SUM(L46*(M46+N46+O46))</f>
        <v>8277</v>
      </c>
      <c r="R46" s="1"/>
      <c r="S46" s="1"/>
      <c r="T46" s="1">
        <f t="shared" si="10"/>
        <v>8277</v>
      </c>
      <c r="U46" s="2" t="s">
        <v>26</v>
      </c>
    </row>
    <row r="47" spans="1:21" ht="24" customHeight="1">
      <c r="A47" s="1">
        <f t="shared" si="0"/>
        <v>43</v>
      </c>
      <c r="B47" s="1" t="s">
        <v>106</v>
      </c>
      <c r="C47" s="2" t="s">
        <v>107</v>
      </c>
      <c r="D47" s="7" t="s">
        <v>64</v>
      </c>
      <c r="E47" s="7" t="s">
        <v>62</v>
      </c>
      <c r="F47" s="7" t="s">
        <v>62</v>
      </c>
      <c r="G47" s="9" t="s">
        <v>25</v>
      </c>
      <c r="H47" s="9" t="s">
        <v>25</v>
      </c>
      <c r="I47" s="1">
        <v>0</v>
      </c>
      <c r="J47" s="9">
        <v>46023</v>
      </c>
      <c r="K47" s="9">
        <v>46053</v>
      </c>
      <c r="L47" s="1">
        <f t="shared" si="1"/>
        <v>31</v>
      </c>
      <c r="M47" s="1">
        <v>50</v>
      </c>
      <c r="N47" s="1">
        <v>50</v>
      </c>
      <c r="O47" s="1">
        <v>167</v>
      </c>
      <c r="P47" s="1">
        <f t="shared" si="31"/>
        <v>0</v>
      </c>
      <c r="Q47" s="1">
        <f t="shared" si="32"/>
        <v>8277</v>
      </c>
      <c r="R47" s="1"/>
      <c r="S47" s="1">
        <v>2523.6999999999998</v>
      </c>
      <c r="T47" s="1">
        <f t="shared" si="10"/>
        <v>10800.7</v>
      </c>
      <c r="U47" s="2" t="s">
        <v>26</v>
      </c>
    </row>
    <row r="48" spans="1:21" ht="24.6" customHeight="1">
      <c r="A48" s="1">
        <f t="shared" si="0"/>
        <v>44</v>
      </c>
      <c r="B48" s="1" t="s">
        <v>108</v>
      </c>
      <c r="C48" s="2" t="s">
        <v>109</v>
      </c>
      <c r="D48" s="7" t="s">
        <v>93</v>
      </c>
      <c r="E48" s="7" t="s">
        <v>62</v>
      </c>
      <c r="F48" s="7" t="s">
        <v>62</v>
      </c>
      <c r="G48" s="9" t="s">
        <v>25</v>
      </c>
      <c r="H48" s="9" t="s">
        <v>25</v>
      </c>
      <c r="I48" s="1">
        <v>0</v>
      </c>
      <c r="J48" s="9">
        <v>46023</v>
      </c>
      <c r="K48" s="9">
        <v>46053</v>
      </c>
      <c r="L48" s="1">
        <f t="shared" si="1"/>
        <v>31</v>
      </c>
      <c r="M48" s="1">
        <v>50</v>
      </c>
      <c r="N48" s="1">
        <v>50</v>
      </c>
      <c r="O48" s="1">
        <v>134</v>
      </c>
      <c r="P48" s="1">
        <f t="shared" si="31"/>
        <v>0</v>
      </c>
      <c r="Q48" s="1">
        <f t="shared" si="32"/>
        <v>7254</v>
      </c>
      <c r="R48" s="1"/>
      <c r="S48" s="1">
        <v>2211.7800000000002</v>
      </c>
      <c r="T48" s="1">
        <f t="shared" si="10"/>
        <v>9465.7800000000007</v>
      </c>
      <c r="U48" s="2" t="s">
        <v>26</v>
      </c>
    </row>
    <row r="49" spans="1:21" ht="24.6" customHeight="1">
      <c r="A49" s="1">
        <f t="shared" si="0"/>
        <v>45</v>
      </c>
      <c r="B49" s="1">
        <v>3113</v>
      </c>
      <c r="C49" s="2" t="s">
        <v>110</v>
      </c>
      <c r="D49" s="7" t="s">
        <v>76</v>
      </c>
      <c r="E49" s="7" t="s">
        <v>62</v>
      </c>
      <c r="F49" s="7" t="s">
        <v>62</v>
      </c>
      <c r="G49" s="9" t="s">
        <v>25</v>
      </c>
      <c r="H49" s="9" t="s">
        <v>25</v>
      </c>
      <c r="I49" s="1">
        <v>0</v>
      </c>
      <c r="J49" s="9">
        <v>46023</v>
      </c>
      <c r="K49" s="9">
        <v>46053</v>
      </c>
      <c r="L49" s="1">
        <f t="shared" ref="L49" si="33">SUM(K49-J49)+1</f>
        <v>31</v>
      </c>
      <c r="M49" s="1">
        <v>25</v>
      </c>
      <c r="N49" s="1">
        <v>25</v>
      </c>
      <c r="O49" s="1">
        <v>100</v>
      </c>
      <c r="P49" s="1">
        <f t="shared" si="31"/>
        <v>0</v>
      </c>
      <c r="Q49" s="1">
        <f t="shared" si="32"/>
        <v>4650</v>
      </c>
      <c r="R49" s="1"/>
      <c r="S49" s="1"/>
      <c r="T49" s="1">
        <f t="shared" si="10"/>
        <v>4650</v>
      </c>
      <c r="U49" s="2" t="s">
        <v>49</v>
      </c>
    </row>
    <row r="50" spans="1:21" ht="24.6" customHeight="1">
      <c r="A50" s="1">
        <f t="shared" si="0"/>
        <v>46</v>
      </c>
      <c r="B50" s="1">
        <v>3108</v>
      </c>
      <c r="C50" s="2" t="s">
        <v>111</v>
      </c>
      <c r="D50" s="7" t="s">
        <v>69</v>
      </c>
      <c r="E50" s="7" t="s">
        <v>62</v>
      </c>
      <c r="F50" s="7" t="s">
        <v>62</v>
      </c>
      <c r="G50" s="9" t="s">
        <v>25</v>
      </c>
      <c r="H50" s="9" t="s">
        <v>25</v>
      </c>
      <c r="I50" s="1">
        <v>0</v>
      </c>
      <c r="J50" s="9">
        <v>46023</v>
      </c>
      <c r="K50" s="9">
        <v>46053</v>
      </c>
      <c r="L50" s="1">
        <f t="shared" ref="L50:L51" si="34">SUM(K50-J50)+1</f>
        <v>31</v>
      </c>
      <c r="M50" s="1">
        <v>50</v>
      </c>
      <c r="N50" s="1">
        <v>50</v>
      </c>
      <c r="O50" s="1">
        <v>234</v>
      </c>
      <c r="P50" s="1">
        <f t="shared" ref="P50:P54" si="35">SUM(I50*(M50+N50))</f>
        <v>0</v>
      </c>
      <c r="Q50" s="1">
        <f t="shared" ref="Q50:Q54" si="36">SUM(L50*(M50+N50+O50))</f>
        <v>10354</v>
      </c>
      <c r="R50" s="1"/>
      <c r="S50" s="1"/>
      <c r="T50" s="1">
        <f t="shared" si="10"/>
        <v>10354</v>
      </c>
      <c r="U50" s="2" t="s">
        <v>26</v>
      </c>
    </row>
    <row r="51" spans="1:21" ht="24.6" customHeight="1">
      <c r="A51" s="1">
        <f t="shared" si="0"/>
        <v>47</v>
      </c>
      <c r="B51" s="1">
        <v>3115</v>
      </c>
      <c r="C51" s="2" t="s">
        <v>112</v>
      </c>
      <c r="D51" s="7" t="s">
        <v>64</v>
      </c>
      <c r="E51" s="7" t="s">
        <v>62</v>
      </c>
      <c r="F51" s="7" t="s">
        <v>62</v>
      </c>
      <c r="G51" s="9" t="s">
        <v>25</v>
      </c>
      <c r="H51" s="9" t="s">
        <v>25</v>
      </c>
      <c r="I51" s="1">
        <v>0</v>
      </c>
      <c r="J51" s="9">
        <v>46023</v>
      </c>
      <c r="K51" s="9">
        <v>46053</v>
      </c>
      <c r="L51" s="1">
        <f t="shared" si="34"/>
        <v>31</v>
      </c>
      <c r="M51" s="1">
        <v>50</v>
      </c>
      <c r="N51" s="1">
        <v>50</v>
      </c>
      <c r="O51" s="1">
        <v>167</v>
      </c>
      <c r="P51" s="1">
        <f t="shared" si="35"/>
        <v>0</v>
      </c>
      <c r="Q51" s="1">
        <f t="shared" si="36"/>
        <v>8277</v>
      </c>
      <c r="R51" s="1"/>
      <c r="S51" s="1">
        <v>164.59</v>
      </c>
      <c r="T51" s="1">
        <f t="shared" si="10"/>
        <v>8441.59</v>
      </c>
      <c r="U51" s="2" t="s">
        <v>26</v>
      </c>
    </row>
    <row r="52" spans="1:21" ht="24.6" customHeight="1">
      <c r="A52" s="1">
        <f t="shared" si="0"/>
        <v>48</v>
      </c>
      <c r="B52" s="1">
        <v>3116</v>
      </c>
      <c r="C52" s="2" t="s">
        <v>113</v>
      </c>
      <c r="D52" s="7" t="s">
        <v>72</v>
      </c>
      <c r="E52" s="7" t="s">
        <v>62</v>
      </c>
      <c r="F52" s="7" t="s">
        <v>62</v>
      </c>
      <c r="G52" s="9" t="s">
        <v>25</v>
      </c>
      <c r="H52" s="9" t="s">
        <v>25</v>
      </c>
      <c r="I52" s="1">
        <v>0</v>
      </c>
      <c r="J52" s="9">
        <v>46023</v>
      </c>
      <c r="K52" s="9">
        <v>46053</v>
      </c>
      <c r="L52" s="1">
        <f t="shared" ref="L52:L66" si="37">SUM(K52-J52)+1</f>
        <v>31</v>
      </c>
      <c r="M52" s="1">
        <v>50</v>
      </c>
      <c r="N52" s="1">
        <v>50</v>
      </c>
      <c r="O52" s="1">
        <v>67</v>
      </c>
      <c r="P52" s="1">
        <f t="shared" si="35"/>
        <v>0</v>
      </c>
      <c r="Q52" s="1">
        <f t="shared" si="36"/>
        <v>5177</v>
      </c>
      <c r="R52" s="1"/>
      <c r="S52" s="1"/>
      <c r="T52" s="1">
        <f t="shared" si="10"/>
        <v>5177</v>
      </c>
      <c r="U52" s="2" t="s">
        <v>26</v>
      </c>
    </row>
    <row r="53" spans="1:21" ht="24.6" customHeight="1">
      <c r="A53" s="1">
        <f t="shared" si="0"/>
        <v>49</v>
      </c>
      <c r="B53" s="1">
        <v>3117</v>
      </c>
      <c r="C53" s="2" t="s">
        <v>114</v>
      </c>
      <c r="D53" s="7" t="s">
        <v>72</v>
      </c>
      <c r="E53" s="7" t="s">
        <v>62</v>
      </c>
      <c r="F53" s="7" t="s">
        <v>62</v>
      </c>
      <c r="G53" s="9" t="s">
        <v>25</v>
      </c>
      <c r="H53" s="9" t="s">
        <v>25</v>
      </c>
      <c r="I53" s="1">
        <v>0</v>
      </c>
      <c r="J53" s="9">
        <v>46023</v>
      </c>
      <c r="K53" s="9">
        <v>46053</v>
      </c>
      <c r="L53" s="1">
        <f t="shared" si="37"/>
        <v>31</v>
      </c>
      <c r="M53" s="1">
        <v>50</v>
      </c>
      <c r="N53" s="1">
        <v>50</v>
      </c>
      <c r="O53" s="1">
        <v>84</v>
      </c>
      <c r="P53" s="1">
        <f t="shared" si="35"/>
        <v>0</v>
      </c>
      <c r="Q53" s="1">
        <f t="shared" si="36"/>
        <v>5704</v>
      </c>
      <c r="R53" s="1"/>
      <c r="S53" s="1"/>
      <c r="T53" s="1">
        <f t="shared" si="10"/>
        <v>5704</v>
      </c>
      <c r="U53" s="2" t="s">
        <v>26</v>
      </c>
    </row>
    <row r="54" spans="1:21" ht="24" customHeight="1">
      <c r="A54" s="1">
        <f t="shared" si="0"/>
        <v>50</v>
      </c>
      <c r="B54" s="1">
        <v>3118</v>
      </c>
      <c r="C54" s="2" t="s">
        <v>115</v>
      </c>
      <c r="D54" s="7" t="s">
        <v>86</v>
      </c>
      <c r="E54" s="7" t="s">
        <v>62</v>
      </c>
      <c r="F54" s="7" t="s">
        <v>62</v>
      </c>
      <c r="G54" s="9" t="s">
        <v>25</v>
      </c>
      <c r="H54" s="9" t="s">
        <v>25</v>
      </c>
      <c r="I54" s="1">
        <v>0</v>
      </c>
      <c r="J54" s="9">
        <v>46023</v>
      </c>
      <c r="K54" s="9">
        <v>46053</v>
      </c>
      <c r="L54" s="1">
        <f t="shared" si="37"/>
        <v>31</v>
      </c>
      <c r="M54" s="1">
        <v>50</v>
      </c>
      <c r="N54" s="1">
        <v>50</v>
      </c>
      <c r="O54" s="1">
        <v>67</v>
      </c>
      <c r="P54" s="1">
        <f t="shared" si="35"/>
        <v>0</v>
      </c>
      <c r="Q54" s="1">
        <f t="shared" si="36"/>
        <v>5177</v>
      </c>
      <c r="R54" s="1"/>
      <c r="S54" s="1"/>
      <c r="T54" s="1">
        <f t="shared" si="10"/>
        <v>5177</v>
      </c>
      <c r="U54" s="2" t="s">
        <v>26</v>
      </c>
    </row>
    <row r="55" spans="1:21" ht="24.6" customHeight="1">
      <c r="A55" s="1">
        <f t="shared" si="0"/>
        <v>51</v>
      </c>
      <c r="B55" s="1">
        <v>3119</v>
      </c>
      <c r="C55" s="2" t="s">
        <v>116</v>
      </c>
      <c r="D55" s="7" t="s">
        <v>117</v>
      </c>
      <c r="E55" s="7" t="s">
        <v>62</v>
      </c>
      <c r="F55" s="7" t="s">
        <v>62</v>
      </c>
      <c r="G55" s="9" t="s">
        <v>25</v>
      </c>
      <c r="H55" s="9" t="s">
        <v>25</v>
      </c>
      <c r="I55" s="1">
        <v>0</v>
      </c>
      <c r="J55" s="9">
        <v>46023</v>
      </c>
      <c r="K55" s="9">
        <v>46053</v>
      </c>
      <c r="L55" s="1">
        <f t="shared" si="37"/>
        <v>31</v>
      </c>
      <c r="M55" s="1">
        <v>50</v>
      </c>
      <c r="N55" s="1">
        <v>50</v>
      </c>
      <c r="O55" s="1">
        <v>117</v>
      </c>
      <c r="P55" s="1">
        <f t="shared" ref="P55:P60" si="38">SUM(I55*(M55+N55))</f>
        <v>0</v>
      </c>
      <c r="Q55" s="1">
        <f t="shared" ref="Q55:Q60" si="39">SUM(L55*(M55+N55+O55))</f>
        <v>6727</v>
      </c>
      <c r="R55" s="1"/>
      <c r="S55" s="1"/>
      <c r="T55" s="1">
        <f t="shared" si="10"/>
        <v>6727</v>
      </c>
      <c r="U55" s="2" t="s">
        <v>26</v>
      </c>
    </row>
    <row r="56" spans="1:21" ht="24.6" customHeight="1">
      <c r="A56" s="1">
        <f t="shared" si="0"/>
        <v>52</v>
      </c>
      <c r="B56" s="1">
        <v>3120</v>
      </c>
      <c r="C56" s="2" t="s">
        <v>118</v>
      </c>
      <c r="D56" s="7" t="s">
        <v>93</v>
      </c>
      <c r="E56" s="7" t="s">
        <v>62</v>
      </c>
      <c r="F56" s="7" t="s">
        <v>62</v>
      </c>
      <c r="G56" s="9" t="s">
        <v>25</v>
      </c>
      <c r="H56" s="9" t="s">
        <v>25</v>
      </c>
      <c r="I56" s="1">
        <v>0</v>
      </c>
      <c r="J56" s="9">
        <v>46023</v>
      </c>
      <c r="K56" s="9">
        <v>46053</v>
      </c>
      <c r="L56" s="1">
        <f t="shared" si="37"/>
        <v>31</v>
      </c>
      <c r="M56" s="1">
        <v>50</v>
      </c>
      <c r="N56" s="1">
        <v>50</v>
      </c>
      <c r="O56" s="1">
        <v>134</v>
      </c>
      <c r="P56" s="1">
        <f t="shared" si="38"/>
        <v>0</v>
      </c>
      <c r="Q56" s="1">
        <f t="shared" si="39"/>
        <v>7254</v>
      </c>
      <c r="R56" s="1"/>
      <c r="S56" s="1"/>
      <c r="T56" s="1">
        <f t="shared" si="10"/>
        <v>7254</v>
      </c>
      <c r="U56" s="2" t="s">
        <v>26</v>
      </c>
    </row>
    <row r="57" spans="1:21" ht="24" customHeight="1">
      <c r="A57" s="1">
        <f t="shared" si="0"/>
        <v>53</v>
      </c>
      <c r="B57" s="1">
        <v>3121</v>
      </c>
      <c r="C57" s="2" t="s">
        <v>119</v>
      </c>
      <c r="D57" s="7" t="s">
        <v>93</v>
      </c>
      <c r="E57" s="7" t="s">
        <v>62</v>
      </c>
      <c r="F57" s="7" t="s">
        <v>62</v>
      </c>
      <c r="G57" s="9" t="s">
        <v>25</v>
      </c>
      <c r="H57" s="9" t="s">
        <v>25</v>
      </c>
      <c r="I57" s="1">
        <v>0</v>
      </c>
      <c r="J57" s="9">
        <v>46023</v>
      </c>
      <c r="K57" s="9">
        <v>46053</v>
      </c>
      <c r="L57" s="1">
        <f t="shared" ref="L57:L59" si="40">SUM(K57-J57)+1</f>
        <v>31</v>
      </c>
      <c r="M57" s="1">
        <v>50</v>
      </c>
      <c r="N57" s="1">
        <v>50</v>
      </c>
      <c r="O57" s="1">
        <v>117</v>
      </c>
      <c r="P57" s="1">
        <f t="shared" si="38"/>
        <v>0</v>
      </c>
      <c r="Q57" s="1">
        <f t="shared" si="39"/>
        <v>6727</v>
      </c>
      <c r="R57" s="1"/>
      <c r="S57" s="1"/>
      <c r="T57" s="1">
        <f t="shared" si="10"/>
        <v>6727</v>
      </c>
      <c r="U57" s="2" t="s">
        <v>26</v>
      </c>
    </row>
    <row r="58" spans="1:21" ht="24" customHeight="1">
      <c r="A58" s="1">
        <f t="shared" si="0"/>
        <v>54</v>
      </c>
      <c r="B58" s="1">
        <v>3123</v>
      </c>
      <c r="C58" s="2" t="s">
        <v>120</v>
      </c>
      <c r="D58" s="7" t="s">
        <v>76</v>
      </c>
      <c r="E58" s="7" t="s">
        <v>62</v>
      </c>
      <c r="F58" s="7" t="s">
        <v>62</v>
      </c>
      <c r="G58" s="9" t="s">
        <v>25</v>
      </c>
      <c r="H58" s="9" t="s">
        <v>25</v>
      </c>
      <c r="I58" s="1">
        <v>0</v>
      </c>
      <c r="J58" s="9">
        <v>46023</v>
      </c>
      <c r="K58" s="9">
        <v>46053</v>
      </c>
      <c r="L58" s="1">
        <f t="shared" si="40"/>
        <v>31</v>
      </c>
      <c r="M58" s="1">
        <v>50</v>
      </c>
      <c r="N58" s="1">
        <v>50</v>
      </c>
      <c r="O58" s="1">
        <v>84</v>
      </c>
      <c r="P58" s="1">
        <f t="shared" si="38"/>
        <v>0</v>
      </c>
      <c r="Q58" s="1">
        <f t="shared" si="39"/>
        <v>5704</v>
      </c>
      <c r="R58" s="1"/>
      <c r="S58" s="1"/>
      <c r="T58" s="1">
        <f t="shared" si="10"/>
        <v>5704</v>
      </c>
      <c r="U58" s="2" t="s">
        <v>26</v>
      </c>
    </row>
    <row r="59" spans="1:21" ht="24.6" customHeight="1">
      <c r="A59" s="1">
        <f t="shared" si="0"/>
        <v>55</v>
      </c>
      <c r="B59" s="1">
        <v>3124</v>
      </c>
      <c r="C59" s="2" t="s">
        <v>121</v>
      </c>
      <c r="D59" s="7" t="s">
        <v>86</v>
      </c>
      <c r="E59" s="7" t="s">
        <v>62</v>
      </c>
      <c r="F59" s="7" t="s">
        <v>62</v>
      </c>
      <c r="G59" s="9" t="s">
        <v>25</v>
      </c>
      <c r="H59" s="9" t="s">
        <v>25</v>
      </c>
      <c r="I59" s="1">
        <v>0</v>
      </c>
      <c r="J59" s="9">
        <v>46023</v>
      </c>
      <c r="K59" s="9">
        <v>46053</v>
      </c>
      <c r="L59" s="1">
        <f t="shared" si="40"/>
        <v>31</v>
      </c>
      <c r="M59" s="1">
        <v>50</v>
      </c>
      <c r="N59" s="1">
        <v>50</v>
      </c>
      <c r="O59" s="1">
        <v>84</v>
      </c>
      <c r="P59" s="1">
        <f t="shared" si="38"/>
        <v>0</v>
      </c>
      <c r="Q59" s="1">
        <f t="shared" si="39"/>
        <v>5704</v>
      </c>
      <c r="R59" s="1"/>
      <c r="S59" s="1"/>
      <c r="T59" s="1">
        <f t="shared" si="10"/>
        <v>5704</v>
      </c>
      <c r="U59" s="2" t="s">
        <v>26</v>
      </c>
    </row>
    <row r="60" spans="1:21" ht="24.6" customHeight="1">
      <c r="A60" s="1">
        <f t="shared" si="0"/>
        <v>56</v>
      </c>
      <c r="B60" s="1">
        <v>3122</v>
      </c>
      <c r="C60" s="2" t="s">
        <v>122</v>
      </c>
      <c r="D60" s="7" t="s">
        <v>123</v>
      </c>
      <c r="E60" s="7" t="s">
        <v>62</v>
      </c>
      <c r="F60" s="7" t="s">
        <v>62</v>
      </c>
      <c r="G60" s="9" t="s">
        <v>25</v>
      </c>
      <c r="H60" s="9" t="s">
        <v>25</v>
      </c>
      <c r="I60" s="1">
        <v>0</v>
      </c>
      <c r="J60" s="9">
        <v>46023</v>
      </c>
      <c r="K60" s="9">
        <v>46053</v>
      </c>
      <c r="L60" s="1">
        <f t="shared" si="37"/>
        <v>31</v>
      </c>
      <c r="M60" s="1">
        <v>50</v>
      </c>
      <c r="N60" s="1">
        <v>50</v>
      </c>
      <c r="O60" s="1">
        <v>150</v>
      </c>
      <c r="P60" s="1">
        <f t="shared" si="38"/>
        <v>0</v>
      </c>
      <c r="Q60" s="1">
        <f t="shared" si="39"/>
        <v>7750</v>
      </c>
      <c r="R60" s="1"/>
      <c r="S60" s="1"/>
      <c r="T60" s="1">
        <f t="shared" si="10"/>
        <v>7750</v>
      </c>
      <c r="U60" s="2" t="s">
        <v>26</v>
      </c>
    </row>
    <row r="61" spans="1:21" ht="24.6" customHeight="1">
      <c r="A61" s="1">
        <f t="shared" si="0"/>
        <v>57</v>
      </c>
      <c r="B61" s="1">
        <v>3137</v>
      </c>
      <c r="C61" s="2" t="s">
        <v>124</v>
      </c>
      <c r="D61" s="7" t="s">
        <v>123</v>
      </c>
      <c r="E61" s="7" t="s">
        <v>62</v>
      </c>
      <c r="F61" s="7" t="s">
        <v>62</v>
      </c>
      <c r="G61" s="9">
        <v>46023</v>
      </c>
      <c r="H61" s="9">
        <v>46033</v>
      </c>
      <c r="I61" s="1">
        <f>SUM(H61-G61)+1</f>
        <v>11</v>
      </c>
      <c r="J61" s="9">
        <v>46034</v>
      </c>
      <c r="K61" s="9">
        <v>46053</v>
      </c>
      <c r="L61" s="1">
        <f t="shared" si="37"/>
        <v>20</v>
      </c>
      <c r="M61" s="1">
        <v>50</v>
      </c>
      <c r="N61" s="1">
        <v>50</v>
      </c>
      <c r="O61" s="1">
        <v>134</v>
      </c>
      <c r="P61" s="1">
        <f t="shared" si="25"/>
        <v>1100</v>
      </c>
      <c r="Q61" s="1">
        <f t="shared" si="26"/>
        <v>4680</v>
      </c>
      <c r="R61" s="1"/>
      <c r="S61" s="1"/>
      <c r="T61" s="1">
        <f t="shared" ref="T61:T67" si="41">(P61+Q61+R61+S61)</f>
        <v>5780</v>
      </c>
      <c r="U61" s="2" t="s">
        <v>26</v>
      </c>
    </row>
    <row r="62" spans="1:21" ht="24.6" customHeight="1">
      <c r="A62" s="1">
        <f t="shared" si="0"/>
        <v>58</v>
      </c>
      <c r="B62" s="1">
        <v>3126</v>
      </c>
      <c r="C62" s="2" t="s">
        <v>125</v>
      </c>
      <c r="D62" s="7" t="s">
        <v>67</v>
      </c>
      <c r="E62" s="7" t="s">
        <v>62</v>
      </c>
      <c r="F62" s="7" t="s">
        <v>62</v>
      </c>
      <c r="G62" s="9" t="s">
        <v>25</v>
      </c>
      <c r="H62" s="9" t="s">
        <v>25</v>
      </c>
      <c r="I62" s="1">
        <v>0</v>
      </c>
      <c r="J62" s="9">
        <v>46023</v>
      </c>
      <c r="K62" s="9">
        <v>46053</v>
      </c>
      <c r="L62" s="1">
        <f t="shared" si="37"/>
        <v>31</v>
      </c>
      <c r="M62" s="1">
        <v>50</v>
      </c>
      <c r="N62" s="1">
        <v>50</v>
      </c>
      <c r="O62" s="1">
        <v>122</v>
      </c>
      <c r="P62" s="1">
        <f t="shared" si="25"/>
        <v>0</v>
      </c>
      <c r="Q62" s="1">
        <f t="shared" si="26"/>
        <v>6882</v>
      </c>
      <c r="R62" s="1"/>
      <c r="S62" s="1"/>
      <c r="T62" s="1">
        <f t="shared" si="41"/>
        <v>6882</v>
      </c>
      <c r="U62" s="2" t="s">
        <v>26</v>
      </c>
    </row>
    <row r="63" spans="1:21" ht="24.6" customHeight="1">
      <c r="A63" s="1">
        <f t="shared" si="0"/>
        <v>59</v>
      </c>
      <c r="B63" s="1">
        <v>3125</v>
      </c>
      <c r="C63" s="2" t="s">
        <v>126</v>
      </c>
      <c r="D63" s="7" t="s">
        <v>67</v>
      </c>
      <c r="E63" s="7" t="s">
        <v>62</v>
      </c>
      <c r="F63" s="7" t="s">
        <v>62</v>
      </c>
      <c r="G63" s="9">
        <v>46023</v>
      </c>
      <c r="H63" s="9">
        <v>46030</v>
      </c>
      <c r="I63" s="1">
        <f t="shared" ref="I63:I65" si="42">SUM(H63-G63)+1</f>
        <v>8</v>
      </c>
      <c r="J63" s="9">
        <v>46031</v>
      </c>
      <c r="K63" s="9">
        <v>46053</v>
      </c>
      <c r="L63" s="1">
        <f t="shared" si="37"/>
        <v>23</v>
      </c>
      <c r="M63" s="1">
        <v>50</v>
      </c>
      <c r="N63" s="1">
        <v>50</v>
      </c>
      <c r="O63" s="1">
        <v>84</v>
      </c>
      <c r="P63" s="1">
        <f t="shared" si="25"/>
        <v>800</v>
      </c>
      <c r="Q63" s="1">
        <f t="shared" si="26"/>
        <v>4232</v>
      </c>
      <c r="R63" s="1"/>
      <c r="S63" s="1"/>
      <c r="T63" s="1">
        <f t="shared" si="41"/>
        <v>5032</v>
      </c>
      <c r="U63" s="2" t="s">
        <v>26</v>
      </c>
    </row>
    <row r="64" spans="1:21" ht="24.6" customHeight="1">
      <c r="A64" s="1">
        <f t="shared" si="0"/>
        <v>60</v>
      </c>
      <c r="B64" s="1">
        <v>3134</v>
      </c>
      <c r="C64" s="2" t="s">
        <v>127</v>
      </c>
      <c r="D64" s="7" t="s">
        <v>67</v>
      </c>
      <c r="E64" s="7" t="s">
        <v>62</v>
      </c>
      <c r="F64" s="7" t="s">
        <v>62</v>
      </c>
      <c r="G64" s="9">
        <v>46023</v>
      </c>
      <c r="H64" s="9">
        <v>46030</v>
      </c>
      <c r="I64" s="1">
        <f t="shared" si="42"/>
        <v>8</v>
      </c>
      <c r="J64" s="9">
        <v>46031</v>
      </c>
      <c r="K64" s="9">
        <v>46053</v>
      </c>
      <c r="L64" s="1">
        <f t="shared" si="37"/>
        <v>23</v>
      </c>
      <c r="M64" s="1">
        <v>50</v>
      </c>
      <c r="N64" s="1">
        <v>50</v>
      </c>
      <c r="O64" s="1">
        <v>57</v>
      </c>
      <c r="P64" s="1">
        <f t="shared" si="25"/>
        <v>800</v>
      </c>
      <c r="Q64" s="1">
        <f t="shared" si="26"/>
        <v>3611</v>
      </c>
      <c r="R64" s="1"/>
      <c r="S64" s="1"/>
      <c r="T64" s="1">
        <f t="shared" si="41"/>
        <v>4411</v>
      </c>
      <c r="U64" s="2" t="s">
        <v>26</v>
      </c>
    </row>
    <row r="65" spans="1:21" ht="24.6" customHeight="1">
      <c r="A65" s="1">
        <f t="shared" si="0"/>
        <v>61</v>
      </c>
      <c r="B65" s="1">
        <v>3132</v>
      </c>
      <c r="C65" s="2" t="s">
        <v>128</v>
      </c>
      <c r="D65" s="7" t="s">
        <v>76</v>
      </c>
      <c r="E65" s="7" t="s">
        <v>62</v>
      </c>
      <c r="F65" s="7" t="s">
        <v>62</v>
      </c>
      <c r="G65" s="9">
        <v>46023</v>
      </c>
      <c r="H65" s="9">
        <v>46028</v>
      </c>
      <c r="I65" s="1">
        <f t="shared" si="42"/>
        <v>6</v>
      </c>
      <c r="J65" s="9">
        <v>46029</v>
      </c>
      <c r="K65" s="9">
        <v>46053</v>
      </c>
      <c r="L65" s="1">
        <f t="shared" si="37"/>
        <v>25</v>
      </c>
      <c r="M65" s="1">
        <v>50</v>
      </c>
      <c r="N65" s="1">
        <v>50</v>
      </c>
      <c r="O65" s="1">
        <v>150</v>
      </c>
      <c r="P65" s="1">
        <f t="shared" si="25"/>
        <v>600</v>
      </c>
      <c r="Q65" s="1">
        <f t="shared" si="26"/>
        <v>6250</v>
      </c>
      <c r="R65" s="1"/>
      <c r="S65" s="1"/>
      <c r="T65" s="1">
        <f t="shared" si="41"/>
        <v>6850</v>
      </c>
      <c r="U65" s="2" t="s">
        <v>26</v>
      </c>
    </row>
    <row r="66" spans="1:21" ht="24.6" customHeight="1">
      <c r="A66" s="1">
        <f t="shared" si="0"/>
        <v>62</v>
      </c>
      <c r="B66" s="1">
        <v>3130</v>
      </c>
      <c r="C66" s="2" t="s">
        <v>129</v>
      </c>
      <c r="D66" s="7" t="s">
        <v>76</v>
      </c>
      <c r="E66" s="7" t="s">
        <v>62</v>
      </c>
      <c r="F66" s="7" t="s">
        <v>62</v>
      </c>
      <c r="G66" s="9" t="s">
        <v>25</v>
      </c>
      <c r="H66" s="9" t="s">
        <v>25</v>
      </c>
      <c r="I66" s="1">
        <v>0</v>
      </c>
      <c r="J66" s="9">
        <v>46023</v>
      </c>
      <c r="K66" s="9">
        <v>46053</v>
      </c>
      <c r="L66" s="1">
        <f t="shared" si="37"/>
        <v>31</v>
      </c>
      <c r="M66" s="1">
        <v>50</v>
      </c>
      <c r="N66" s="1">
        <v>50</v>
      </c>
      <c r="O66" s="1">
        <v>84</v>
      </c>
      <c r="P66" s="1">
        <f t="shared" si="25"/>
        <v>0</v>
      </c>
      <c r="Q66" s="1">
        <f t="shared" si="26"/>
        <v>5704</v>
      </c>
      <c r="R66" s="1">
        <v>168</v>
      </c>
      <c r="S66" s="1"/>
      <c r="T66" s="1">
        <f t="shared" si="41"/>
        <v>5872</v>
      </c>
      <c r="U66" s="2" t="s">
        <v>26</v>
      </c>
    </row>
    <row r="67" spans="1:21" ht="24.6" customHeight="1">
      <c r="A67" s="1">
        <f t="shared" si="0"/>
        <v>63</v>
      </c>
      <c r="B67" s="1">
        <v>3140</v>
      </c>
      <c r="C67" s="2" t="s">
        <v>130</v>
      </c>
      <c r="D67" s="7" t="s">
        <v>76</v>
      </c>
      <c r="E67" s="7" t="s">
        <v>62</v>
      </c>
      <c r="F67" s="7" t="s">
        <v>62</v>
      </c>
      <c r="G67" s="9" t="s">
        <v>25</v>
      </c>
      <c r="H67" s="9" t="s">
        <v>25</v>
      </c>
      <c r="I67" s="1">
        <v>0</v>
      </c>
      <c r="J67" s="9">
        <v>46023</v>
      </c>
      <c r="K67" s="9">
        <v>46053</v>
      </c>
      <c r="L67" s="1">
        <f>SUM(K67-J67)+1</f>
        <v>31</v>
      </c>
      <c r="M67" s="1">
        <v>50</v>
      </c>
      <c r="N67" s="1">
        <v>50</v>
      </c>
      <c r="O67" s="1">
        <v>134</v>
      </c>
      <c r="P67" s="1">
        <f t="shared" si="25"/>
        <v>0</v>
      </c>
      <c r="Q67" s="1">
        <f t="shared" si="26"/>
        <v>7254</v>
      </c>
      <c r="R67" s="1"/>
      <c r="S67" s="1"/>
      <c r="T67" s="1">
        <f t="shared" si="41"/>
        <v>7254</v>
      </c>
      <c r="U67" s="2" t="s">
        <v>26</v>
      </c>
    </row>
    <row r="68" spans="1:21" ht="24.6" customHeight="1">
      <c r="A68" s="1">
        <f t="shared" ref="A68:A83" si="43">ROW()-4</f>
        <v>64</v>
      </c>
      <c r="B68" s="1">
        <v>3133</v>
      </c>
      <c r="C68" s="2" t="s">
        <v>131</v>
      </c>
      <c r="D68" s="7" t="s">
        <v>93</v>
      </c>
      <c r="E68" s="7" t="s">
        <v>62</v>
      </c>
      <c r="F68" s="7" t="s">
        <v>62</v>
      </c>
      <c r="G68" s="9">
        <v>46023</v>
      </c>
      <c r="H68" s="9">
        <v>46030</v>
      </c>
      <c r="I68" s="1">
        <f t="shared" ref="I68" si="44">SUM(H68-G68)+1</f>
        <v>8</v>
      </c>
      <c r="J68" s="9">
        <v>46031</v>
      </c>
      <c r="K68" s="9">
        <v>46053</v>
      </c>
      <c r="L68" s="1">
        <f>SUM(K68-J68)+1</f>
        <v>23</v>
      </c>
      <c r="M68" s="1">
        <v>50</v>
      </c>
      <c r="N68" s="1">
        <v>50</v>
      </c>
      <c r="O68" s="1">
        <v>117</v>
      </c>
      <c r="P68" s="1">
        <f t="shared" ref="P68:P70" si="45">SUM(I68*(M68+N68))</f>
        <v>800</v>
      </c>
      <c r="Q68" s="1">
        <f t="shared" ref="Q68:Q70" si="46">SUM(L68*(M68+N68+O68))</f>
        <v>4991</v>
      </c>
      <c r="R68" s="1"/>
      <c r="S68" s="1"/>
      <c r="T68" s="1">
        <f t="shared" ref="T68:T70" si="47">(P68+Q68+R68+S68)</f>
        <v>5791</v>
      </c>
      <c r="U68" s="2" t="s">
        <v>26</v>
      </c>
    </row>
    <row r="69" spans="1:21" ht="24" customHeight="1">
      <c r="A69" s="1">
        <v>67</v>
      </c>
      <c r="B69" s="1">
        <v>3156</v>
      </c>
      <c r="C69" s="2" t="s">
        <v>132</v>
      </c>
      <c r="D69" s="7" t="s">
        <v>58</v>
      </c>
      <c r="E69" s="7" t="s">
        <v>62</v>
      </c>
      <c r="F69" s="7" t="s">
        <v>62</v>
      </c>
      <c r="G69" s="8" t="s">
        <v>25</v>
      </c>
      <c r="H69" s="8" t="s">
        <v>25</v>
      </c>
      <c r="I69" s="1">
        <v>0</v>
      </c>
      <c r="J69" s="9">
        <v>46023</v>
      </c>
      <c r="K69" s="9">
        <v>46053</v>
      </c>
      <c r="L69" s="1">
        <f>SUM(K69-J69)+1</f>
        <v>31</v>
      </c>
      <c r="M69" s="1">
        <v>50</v>
      </c>
      <c r="N69" s="1">
        <v>50</v>
      </c>
      <c r="O69" s="1">
        <v>67</v>
      </c>
      <c r="P69" s="1">
        <f t="shared" si="45"/>
        <v>0</v>
      </c>
      <c r="Q69" s="1">
        <f t="shared" si="46"/>
        <v>5177</v>
      </c>
      <c r="R69" s="1"/>
      <c r="S69" s="1"/>
      <c r="T69" s="1">
        <f t="shared" si="47"/>
        <v>5177</v>
      </c>
      <c r="U69" s="11" t="s">
        <v>133</v>
      </c>
    </row>
    <row r="70" spans="1:21" ht="24" customHeight="1">
      <c r="A70" s="1">
        <f t="shared" si="43"/>
        <v>66</v>
      </c>
      <c r="B70" s="1">
        <v>3154</v>
      </c>
      <c r="C70" s="2" t="s">
        <v>134</v>
      </c>
      <c r="D70" s="7" t="s">
        <v>58</v>
      </c>
      <c r="E70" s="7" t="s">
        <v>62</v>
      </c>
      <c r="F70" s="7" t="s">
        <v>62</v>
      </c>
      <c r="G70" s="8" t="s">
        <v>25</v>
      </c>
      <c r="H70" s="8" t="s">
        <v>25</v>
      </c>
      <c r="I70" s="1">
        <v>0</v>
      </c>
      <c r="J70" s="9">
        <v>46023</v>
      </c>
      <c r="K70" s="9">
        <v>46053</v>
      </c>
      <c r="L70" s="1">
        <f>SUM(K70-J70)+1</f>
        <v>31</v>
      </c>
      <c r="M70" s="1">
        <v>50</v>
      </c>
      <c r="N70" s="1">
        <v>50</v>
      </c>
      <c r="O70" s="1">
        <v>117</v>
      </c>
      <c r="P70" s="1">
        <f t="shared" si="45"/>
        <v>0</v>
      </c>
      <c r="Q70" s="1">
        <f t="shared" si="46"/>
        <v>6727</v>
      </c>
      <c r="R70" s="1"/>
      <c r="S70" s="1"/>
      <c r="T70" s="1">
        <f t="shared" si="47"/>
        <v>6727</v>
      </c>
      <c r="U70" s="11" t="s">
        <v>26</v>
      </c>
    </row>
    <row r="71" spans="1:21" ht="24.6" customHeight="1">
      <c r="A71" s="1">
        <f t="shared" si="43"/>
        <v>67</v>
      </c>
      <c r="B71" s="1">
        <v>3150</v>
      </c>
      <c r="C71" s="11" t="s">
        <v>135</v>
      </c>
      <c r="D71" s="7" t="s">
        <v>76</v>
      </c>
      <c r="E71" s="7" t="s">
        <v>62</v>
      </c>
      <c r="F71" s="7" t="s">
        <v>62</v>
      </c>
      <c r="G71" s="9">
        <v>46007</v>
      </c>
      <c r="H71" s="9">
        <v>46021</v>
      </c>
      <c r="I71" s="1">
        <f>SUM(H71-G71)+1</f>
        <v>15</v>
      </c>
      <c r="J71" s="9">
        <v>46022</v>
      </c>
      <c r="K71" s="9">
        <v>46053</v>
      </c>
      <c r="L71" s="1">
        <f>SUM(K71-J71)+1</f>
        <v>32</v>
      </c>
      <c r="M71" s="1">
        <v>50</v>
      </c>
      <c r="N71" s="1">
        <v>50</v>
      </c>
      <c r="O71" s="1">
        <v>100</v>
      </c>
      <c r="P71" s="1">
        <f t="shared" ref="P71:P73" si="48">SUM(I71*(M71+N71))</f>
        <v>1500</v>
      </c>
      <c r="Q71" s="1">
        <f t="shared" ref="Q71:Q73" si="49">SUM(L71*(M71+N71+O71))</f>
        <v>6400</v>
      </c>
      <c r="R71" s="1"/>
      <c r="S71" s="1"/>
      <c r="T71" s="1">
        <f t="shared" ref="T71:T75" si="50">(P71+Q71+R71+S71)</f>
        <v>7900</v>
      </c>
      <c r="U71" s="11" t="s">
        <v>26</v>
      </c>
    </row>
    <row r="72" spans="1:21" ht="24.6" customHeight="1">
      <c r="A72" s="1">
        <f t="shared" si="43"/>
        <v>68</v>
      </c>
      <c r="B72" s="1">
        <v>3138</v>
      </c>
      <c r="C72" s="2" t="s">
        <v>136</v>
      </c>
      <c r="D72" s="7" t="s">
        <v>61</v>
      </c>
      <c r="E72" s="7" t="s">
        <v>62</v>
      </c>
      <c r="F72" s="7" t="s">
        <v>62</v>
      </c>
      <c r="G72" s="9" t="s">
        <v>25</v>
      </c>
      <c r="H72" s="9" t="s">
        <v>25</v>
      </c>
      <c r="I72" s="1">
        <v>0</v>
      </c>
      <c r="J72" s="9">
        <v>46023</v>
      </c>
      <c r="K72" s="9">
        <v>46053</v>
      </c>
      <c r="L72" s="1">
        <f t="shared" ref="L72:L73" si="51">SUM(K72-J72)+1</f>
        <v>31</v>
      </c>
      <c r="M72" s="1">
        <v>50</v>
      </c>
      <c r="N72" s="1">
        <v>50</v>
      </c>
      <c r="O72" s="1">
        <v>334</v>
      </c>
      <c r="P72" s="1">
        <f t="shared" si="48"/>
        <v>0</v>
      </c>
      <c r="Q72" s="1">
        <f t="shared" si="49"/>
        <v>13454</v>
      </c>
      <c r="R72" s="1"/>
      <c r="S72" s="1"/>
      <c r="T72" s="1">
        <f t="shared" si="50"/>
        <v>13454</v>
      </c>
      <c r="U72" s="11" t="s">
        <v>26</v>
      </c>
    </row>
    <row r="73" spans="1:21" ht="24.6" customHeight="1">
      <c r="A73" s="1">
        <v>69</v>
      </c>
      <c r="B73" s="1">
        <v>3146</v>
      </c>
      <c r="C73" s="2" t="s">
        <v>137</v>
      </c>
      <c r="D73" s="7" t="s">
        <v>67</v>
      </c>
      <c r="E73" s="7" t="s">
        <v>62</v>
      </c>
      <c r="F73" s="7" t="s">
        <v>62</v>
      </c>
      <c r="G73" s="9">
        <v>46023</v>
      </c>
      <c r="H73" s="9">
        <v>46030</v>
      </c>
      <c r="I73" s="1">
        <f>SUM(H73-G73)+1</f>
        <v>8</v>
      </c>
      <c r="J73" s="9">
        <v>46031</v>
      </c>
      <c r="K73" s="9">
        <v>46053</v>
      </c>
      <c r="L73" s="1">
        <f t="shared" si="51"/>
        <v>23</v>
      </c>
      <c r="M73" s="1">
        <v>50</v>
      </c>
      <c r="N73" s="1">
        <v>50</v>
      </c>
      <c r="O73" s="1">
        <v>84</v>
      </c>
      <c r="P73" s="1">
        <f t="shared" si="48"/>
        <v>800</v>
      </c>
      <c r="Q73" s="1">
        <f t="shared" si="49"/>
        <v>4232</v>
      </c>
      <c r="R73" s="1"/>
      <c r="S73" s="1"/>
      <c r="T73" s="1">
        <f t="shared" si="50"/>
        <v>5032</v>
      </c>
      <c r="U73" s="11" t="s">
        <v>26</v>
      </c>
    </row>
    <row r="74" spans="1:21" ht="24.6" customHeight="1">
      <c r="A74" s="1">
        <f t="shared" si="43"/>
        <v>70</v>
      </c>
      <c r="B74" s="1">
        <v>3151</v>
      </c>
      <c r="C74" s="2" t="s">
        <v>138</v>
      </c>
      <c r="D74" s="7" t="s">
        <v>139</v>
      </c>
      <c r="E74" s="7" t="s">
        <v>62</v>
      </c>
      <c r="F74" s="7" t="s">
        <v>62</v>
      </c>
      <c r="G74" s="13">
        <v>46043</v>
      </c>
      <c r="H74" s="13">
        <v>46053</v>
      </c>
      <c r="I74" s="1">
        <f t="shared" ref="I74:I76" si="52">SUM(H74-G74)+1</f>
        <v>11</v>
      </c>
      <c r="J74" s="9" t="s">
        <v>25</v>
      </c>
      <c r="K74" s="9" t="s">
        <v>25</v>
      </c>
      <c r="L74" s="1">
        <v>0</v>
      </c>
      <c r="M74" s="1">
        <v>30</v>
      </c>
      <c r="N74" s="1">
        <v>30</v>
      </c>
      <c r="O74" s="1">
        <v>57</v>
      </c>
      <c r="P74" s="1">
        <f t="shared" ref="P74" si="53">SUM(I74*(M74+N74))</f>
        <v>660</v>
      </c>
      <c r="Q74" s="1">
        <f t="shared" ref="Q74" si="54">SUM(L74*(M74+N74+O74))</f>
        <v>0</v>
      </c>
      <c r="R74" s="1"/>
      <c r="S74" s="1"/>
      <c r="T74" s="1">
        <f t="shared" si="50"/>
        <v>660</v>
      </c>
      <c r="U74" s="11" t="s">
        <v>140</v>
      </c>
    </row>
    <row r="75" spans="1:21" ht="24.6" customHeight="1">
      <c r="A75" s="1">
        <f t="shared" si="43"/>
        <v>71</v>
      </c>
      <c r="B75" s="1">
        <v>3152</v>
      </c>
      <c r="C75" s="2" t="s">
        <v>141</v>
      </c>
      <c r="D75" s="7" t="s">
        <v>67</v>
      </c>
      <c r="E75" s="7" t="s">
        <v>62</v>
      </c>
      <c r="F75" s="7" t="s">
        <v>62</v>
      </c>
      <c r="G75" s="13">
        <v>46043</v>
      </c>
      <c r="H75" s="13">
        <v>46053</v>
      </c>
      <c r="I75" s="1">
        <f t="shared" si="52"/>
        <v>11</v>
      </c>
      <c r="J75" s="9" t="s">
        <v>25</v>
      </c>
      <c r="K75" s="9" t="s">
        <v>25</v>
      </c>
      <c r="L75" s="1">
        <v>0</v>
      </c>
      <c r="M75" s="1">
        <v>50</v>
      </c>
      <c r="N75" s="1">
        <v>50</v>
      </c>
      <c r="O75" s="1">
        <v>234</v>
      </c>
      <c r="P75" s="1">
        <f t="shared" ref="P75" si="55">SUM(I75*(M75+N75))</f>
        <v>1100</v>
      </c>
      <c r="Q75" s="1">
        <f t="shared" ref="Q75:Q76" si="56">SUM(L75*(M75+N75+O75))</f>
        <v>0</v>
      </c>
      <c r="R75" s="1"/>
      <c r="S75" s="1"/>
      <c r="T75" s="1">
        <f t="shared" si="50"/>
        <v>1100</v>
      </c>
      <c r="U75" s="2" t="s">
        <v>26</v>
      </c>
    </row>
    <row r="76" spans="1:21" ht="24.6" customHeight="1">
      <c r="A76" s="1">
        <f t="shared" si="43"/>
        <v>72</v>
      </c>
      <c r="B76" s="1">
        <v>3145</v>
      </c>
      <c r="C76" s="2" t="s">
        <v>142</v>
      </c>
      <c r="D76" s="7" t="s">
        <v>69</v>
      </c>
      <c r="E76" s="7" t="s">
        <v>62</v>
      </c>
      <c r="F76" s="7" t="s">
        <v>62</v>
      </c>
      <c r="G76" s="13">
        <v>46043</v>
      </c>
      <c r="H76" s="13">
        <v>46053</v>
      </c>
      <c r="I76" s="1">
        <f t="shared" si="52"/>
        <v>11</v>
      </c>
      <c r="J76" s="9" t="s">
        <v>25</v>
      </c>
      <c r="K76" s="9" t="s">
        <v>25</v>
      </c>
      <c r="L76" s="1">
        <v>0</v>
      </c>
      <c r="M76" s="1">
        <v>50</v>
      </c>
      <c r="N76" s="1">
        <v>50</v>
      </c>
      <c r="O76" s="1">
        <v>234</v>
      </c>
      <c r="P76" s="1">
        <f t="shared" ref="P76" si="57">SUM(I76*(M76+N76))</f>
        <v>1100</v>
      </c>
      <c r="Q76" s="1">
        <f t="shared" si="56"/>
        <v>0</v>
      </c>
      <c r="R76" s="1"/>
      <c r="S76" s="1"/>
      <c r="T76" s="1">
        <f>(P76+Q76+R76+S76)</f>
        <v>1100</v>
      </c>
      <c r="U76" s="2" t="s">
        <v>26</v>
      </c>
    </row>
    <row r="77" spans="1:21" ht="24.6" customHeight="1">
      <c r="A77" s="1">
        <f t="shared" si="43"/>
        <v>73</v>
      </c>
      <c r="B77" s="1">
        <v>3139</v>
      </c>
      <c r="C77" s="2" t="s">
        <v>143</v>
      </c>
      <c r="D77" s="7" t="s">
        <v>139</v>
      </c>
      <c r="E77" s="7" t="s">
        <v>62</v>
      </c>
      <c r="F77" s="7" t="s">
        <v>62</v>
      </c>
      <c r="G77" s="13">
        <v>46043</v>
      </c>
      <c r="H77" s="13">
        <v>46053</v>
      </c>
      <c r="I77" s="1">
        <f>SUM(H77-G77)+1</f>
        <v>11</v>
      </c>
      <c r="J77" s="9" t="s">
        <v>25</v>
      </c>
      <c r="K77" s="9" t="s">
        <v>25</v>
      </c>
      <c r="L77" s="1">
        <v>0</v>
      </c>
      <c r="M77" s="1">
        <v>30</v>
      </c>
      <c r="N77" s="1">
        <v>30</v>
      </c>
      <c r="O77" s="1">
        <v>57</v>
      </c>
      <c r="P77" s="1">
        <f>SUM(I77*(M74+N74))</f>
        <v>660</v>
      </c>
      <c r="Q77" s="1">
        <f>SUM(L77*(M74+N74+O74))</f>
        <v>0</v>
      </c>
      <c r="R77" s="1"/>
      <c r="S77" s="1"/>
      <c r="T77" s="1">
        <f t="shared" ref="T77:T83" si="58">(P77+Q77+R77+S77)</f>
        <v>660</v>
      </c>
      <c r="U77" s="11" t="s">
        <v>140</v>
      </c>
    </row>
    <row r="78" spans="1:21" ht="24.6" customHeight="1">
      <c r="A78" s="1">
        <f t="shared" si="43"/>
        <v>74</v>
      </c>
      <c r="B78" s="1">
        <v>3153</v>
      </c>
      <c r="C78" s="2" t="s">
        <v>144</v>
      </c>
      <c r="D78" s="7" t="s">
        <v>145</v>
      </c>
      <c r="E78" s="7" t="s">
        <v>62</v>
      </c>
      <c r="F78" s="7" t="s">
        <v>62</v>
      </c>
      <c r="G78" s="13">
        <v>46043</v>
      </c>
      <c r="H78" s="13">
        <v>46053</v>
      </c>
      <c r="I78" s="1">
        <f>SUM(H78-G78)+1</f>
        <v>11</v>
      </c>
      <c r="J78" s="9" t="s">
        <v>25</v>
      </c>
      <c r="K78" s="9" t="s">
        <v>25</v>
      </c>
      <c r="L78" s="1">
        <v>0</v>
      </c>
      <c r="M78" s="1">
        <v>50</v>
      </c>
      <c r="N78" s="1">
        <v>50</v>
      </c>
      <c r="O78" s="1">
        <v>167</v>
      </c>
      <c r="P78" s="1">
        <f>SUM(I78*(M75+N75))</f>
        <v>1100</v>
      </c>
      <c r="Q78" s="1">
        <f>SUM(L78*(M75+N75+O75))</f>
        <v>0</v>
      </c>
      <c r="R78" s="1"/>
      <c r="S78" s="1"/>
      <c r="T78" s="1">
        <f t="shared" si="58"/>
        <v>1100</v>
      </c>
      <c r="U78" s="2" t="s">
        <v>26</v>
      </c>
    </row>
    <row r="79" spans="1:21" ht="24.6" customHeight="1">
      <c r="A79" s="1">
        <f t="shared" si="43"/>
        <v>75</v>
      </c>
      <c r="B79" s="1">
        <v>3149</v>
      </c>
      <c r="C79" s="2" t="s">
        <v>146</v>
      </c>
      <c r="D79" s="7" t="s">
        <v>72</v>
      </c>
      <c r="E79" s="7" t="s">
        <v>62</v>
      </c>
      <c r="F79" s="7" t="s">
        <v>62</v>
      </c>
      <c r="G79" s="13">
        <v>46043</v>
      </c>
      <c r="H79" s="13">
        <v>46053</v>
      </c>
      <c r="I79" s="1">
        <f t="shared" ref="I79:I83" si="59">SUM(H79-G79)+1</f>
        <v>11</v>
      </c>
      <c r="J79" s="9" t="s">
        <v>25</v>
      </c>
      <c r="K79" s="9" t="s">
        <v>25</v>
      </c>
      <c r="L79" s="1">
        <v>0</v>
      </c>
      <c r="M79" s="1">
        <v>50</v>
      </c>
      <c r="N79" s="1">
        <v>50</v>
      </c>
      <c r="O79" s="1">
        <v>67</v>
      </c>
      <c r="P79" s="1">
        <f t="shared" ref="P79" si="60">SUM(I79*(M79+N79))</f>
        <v>1100</v>
      </c>
      <c r="Q79" s="1">
        <f t="shared" ref="Q79:Q83" si="61">SUM(L79*(M79+N79+O79))</f>
        <v>0</v>
      </c>
      <c r="R79" s="1"/>
      <c r="S79" s="1"/>
      <c r="T79" s="1">
        <f t="shared" si="58"/>
        <v>1100</v>
      </c>
      <c r="U79" s="2" t="s">
        <v>26</v>
      </c>
    </row>
    <row r="80" spans="1:21" ht="24.6" customHeight="1">
      <c r="A80" s="1">
        <f t="shared" si="43"/>
        <v>76</v>
      </c>
      <c r="B80" s="1">
        <v>3157</v>
      </c>
      <c r="C80" s="2" t="s">
        <v>147</v>
      </c>
      <c r="D80" s="7" t="s">
        <v>145</v>
      </c>
      <c r="E80" s="7" t="s">
        <v>62</v>
      </c>
      <c r="F80" s="7" t="s">
        <v>62</v>
      </c>
      <c r="G80" s="13">
        <v>46043</v>
      </c>
      <c r="H80" s="13">
        <v>46053</v>
      </c>
      <c r="I80" s="1">
        <f t="shared" si="59"/>
        <v>11</v>
      </c>
      <c r="J80" s="9" t="s">
        <v>25</v>
      </c>
      <c r="K80" s="9" t="s">
        <v>25</v>
      </c>
      <c r="L80" s="1">
        <v>0</v>
      </c>
      <c r="M80" s="1">
        <v>50</v>
      </c>
      <c r="N80" s="1">
        <v>50</v>
      </c>
      <c r="O80" s="1">
        <v>134</v>
      </c>
      <c r="P80" s="1">
        <f t="shared" ref="P80:P83" si="62">SUM(I80*(M80+N80))</f>
        <v>1100</v>
      </c>
      <c r="Q80" s="1">
        <f t="shared" si="61"/>
        <v>0</v>
      </c>
      <c r="R80" s="1"/>
      <c r="S80" s="1"/>
      <c r="T80" s="1">
        <f t="shared" si="58"/>
        <v>1100</v>
      </c>
      <c r="U80" s="2" t="s">
        <v>26</v>
      </c>
    </row>
    <row r="81" spans="1:21" ht="24.6" customHeight="1">
      <c r="A81" s="1">
        <f t="shared" si="43"/>
        <v>77</v>
      </c>
      <c r="B81" s="1">
        <v>3155</v>
      </c>
      <c r="C81" s="2" t="s">
        <v>148</v>
      </c>
      <c r="D81" s="7" t="s">
        <v>145</v>
      </c>
      <c r="E81" s="7" t="s">
        <v>62</v>
      </c>
      <c r="F81" s="7" t="s">
        <v>62</v>
      </c>
      <c r="G81" s="13">
        <v>46043</v>
      </c>
      <c r="H81" s="13">
        <v>46053</v>
      </c>
      <c r="I81" s="1">
        <f t="shared" si="59"/>
        <v>11</v>
      </c>
      <c r="J81" s="9" t="s">
        <v>25</v>
      </c>
      <c r="K81" s="9" t="s">
        <v>25</v>
      </c>
      <c r="L81" s="1">
        <v>0</v>
      </c>
      <c r="M81" s="1">
        <v>50</v>
      </c>
      <c r="N81" s="1">
        <v>50</v>
      </c>
      <c r="O81" s="1">
        <v>134</v>
      </c>
      <c r="P81" s="1">
        <f t="shared" si="62"/>
        <v>1100</v>
      </c>
      <c r="Q81" s="1">
        <f t="shared" si="61"/>
        <v>0</v>
      </c>
      <c r="R81" s="1"/>
      <c r="S81" s="1"/>
      <c r="T81" s="1">
        <f t="shared" si="58"/>
        <v>1100</v>
      </c>
      <c r="U81" s="2" t="s">
        <v>26</v>
      </c>
    </row>
    <row r="82" spans="1:21" ht="24.6" customHeight="1">
      <c r="A82" s="1">
        <f t="shared" si="43"/>
        <v>78</v>
      </c>
      <c r="B82" s="1">
        <v>3147</v>
      </c>
      <c r="C82" s="2" t="s">
        <v>149</v>
      </c>
      <c r="D82" s="7" t="s">
        <v>93</v>
      </c>
      <c r="E82" s="7" t="s">
        <v>62</v>
      </c>
      <c r="F82" s="7" t="s">
        <v>62</v>
      </c>
      <c r="G82" s="13">
        <v>46043</v>
      </c>
      <c r="H82" s="13">
        <v>46053</v>
      </c>
      <c r="I82" s="1">
        <f t="shared" si="59"/>
        <v>11</v>
      </c>
      <c r="J82" s="9" t="s">
        <v>25</v>
      </c>
      <c r="K82" s="9" t="s">
        <v>25</v>
      </c>
      <c r="L82" s="1">
        <v>0</v>
      </c>
      <c r="M82" s="1">
        <v>50</v>
      </c>
      <c r="N82" s="1">
        <v>50</v>
      </c>
      <c r="O82" s="1">
        <v>117</v>
      </c>
      <c r="P82" s="1">
        <f t="shared" si="62"/>
        <v>1100</v>
      </c>
      <c r="Q82" s="1">
        <f t="shared" si="61"/>
        <v>0</v>
      </c>
      <c r="R82" s="1"/>
      <c r="S82" s="1"/>
      <c r="T82" s="1">
        <f t="shared" si="58"/>
        <v>1100</v>
      </c>
      <c r="U82" s="2" t="s">
        <v>26</v>
      </c>
    </row>
    <row r="83" spans="1:21" ht="24.6" customHeight="1">
      <c r="A83" s="1">
        <f t="shared" si="43"/>
        <v>79</v>
      </c>
      <c r="B83" s="1">
        <v>3127</v>
      </c>
      <c r="C83" s="2" t="s">
        <v>150</v>
      </c>
      <c r="D83" s="7" t="s">
        <v>72</v>
      </c>
      <c r="E83" s="7" t="s">
        <v>62</v>
      </c>
      <c r="F83" s="7" t="s">
        <v>62</v>
      </c>
      <c r="G83" s="13">
        <v>46043</v>
      </c>
      <c r="H83" s="13">
        <v>46053</v>
      </c>
      <c r="I83" s="1">
        <f t="shared" si="59"/>
        <v>11</v>
      </c>
      <c r="J83" s="9" t="s">
        <v>25</v>
      </c>
      <c r="K83" s="9" t="s">
        <v>25</v>
      </c>
      <c r="L83" s="1">
        <v>0</v>
      </c>
      <c r="M83" s="1">
        <v>50</v>
      </c>
      <c r="N83" s="1">
        <v>50</v>
      </c>
      <c r="O83" s="1">
        <v>84</v>
      </c>
      <c r="P83" s="1">
        <f t="shared" si="62"/>
        <v>1100</v>
      </c>
      <c r="Q83" s="1">
        <f t="shared" si="61"/>
        <v>0</v>
      </c>
      <c r="R83" s="1"/>
      <c r="S83" s="1"/>
      <c r="T83" s="1">
        <f t="shared" si="58"/>
        <v>1100</v>
      </c>
      <c r="U83" s="2" t="s">
        <v>26</v>
      </c>
    </row>
    <row r="84" spans="1:21" ht="24.6" customHeight="1">
      <c r="A84" s="1">
        <v>80</v>
      </c>
      <c r="B84" s="1">
        <v>3141</v>
      </c>
      <c r="C84" s="2" t="s">
        <v>151</v>
      </c>
      <c r="D84" s="7" t="s">
        <v>69</v>
      </c>
      <c r="E84" s="7" t="s">
        <v>62</v>
      </c>
      <c r="F84" s="7" t="s">
        <v>62</v>
      </c>
      <c r="G84" s="13">
        <v>46043</v>
      </c>
      <c r="H84" s="13">
        <v>46053</v>
      </c>
      <c r="I84" s="1">
        <f t="shared" ref="I84:I91" si="63">SUM(H84-G84)+1</f>
        <v>11</v>
      </c>
      <c r="J84" s="9" t="s">
        <v>25</v>
      </c>
      <c r="K84" s="9" t="s">
        <v>25</v>
      </c>
      <c r="L84" s="1">
        <v>0</v>
      </c>
      <c r="M84" s="1">
        <v>50</v>
      </c>
      <c r="N84" s="1">
        <v>50</v>
      </c>
      <c r="O84" s="1">
        <v>234</v>
      </c>
      <c r="P84" s="1">
        <f t="shared" ref="P84:P107" si="64">SUM(I84*(M84+N84))</f>
        <v>1100</v>
      </c>
      <c r="Q84" s="1">
        <f t="shared" ref="Q84:Q107" si="65">SUM(L84*(M84+N84+O84))</f>
        <v>0</v>
      </c>
      <c r="R84" s="1"/>
      <c r="S84" s="1"/>
      <c r="T84" s="1">
        <f t="shared" ref="T84:T107" si="66">(P84+Q84+R84+S84)</f>
        <v>1100</v>
      </c>
      <c r="U84" s="2" t="s">
        <v>26</v>
      </c>
    </row>
    <row r="85" spans="1:21" ht="24.6" customHeight="1">
      <c r="A85" s="1">
        <v>81</v>
      </c>
      <c r="B85" s="1">
        <v>3158</v>
      </c>
      <c r="C85" s="12" t="s">
        <v>152</v>
      </c>
      <c r="D85" s="7" t="s">
        <v>93</v>
      </c>
      <c r="E85" s="7" t="s">
        <v>62</v>
      </c>
      <c r="F85" s="7" t="s">
        <v>62</v>
      </c>
      <c r="G85" s="9">
        <v>46013</v>
      </c>
      <c r="H85" s="9">
        <v>46053</v>
      </c>
      <c r="I85" s="1">
        <f t="shared" si="63"/>
        <v>41</v>
      </c>
      <c r="J85" s="9" t="s">
        <v>25</v>
      </c>
      <c r="K85" s="9" t="s">
        <v>25</v>
      </c>
      <c r="L85" s="1">
        <v>0</v>
      </c>
      <c r="M85" s="1">
        <v>50</v>
      </c>
      <c r="N85" s="1">
        <v>50</v>
      </c>
      <c r="O85" s="1">
        <v>67</v>
      </c>
      <c r="P85" s="1">
        <f t="shared" si="64"/>
        <v>4100</v>
      </c>
      <c r="Q85" s="1">
        <f t="shared" si="65"/>
        <v>0</v>
      </c>
      <c r="R85" s="1"/>
      <c r="S85" s="1"/>
      <c r="T85" s="1">
        <f t="shared" si="66"/>
        <v>4100</v>
      </c>
      <c r="U85" s="11" t="s">
        <v>133</v>
      </c>
    </row>
    <row r="86" spans="1:21" ht="24" customHeight="1">
      <c r="A86" s="1">
        <v>82</v>
      </c>
      <c r="B86" s="1">
        <v>3143</v>
      </c>
      <c r="C86" s="12" t="s">
        <v>153</v>
      </c>
      <c r="D86" s="7" t="s">
        <v>76</v>
      </c>
      <c r="E86" s="7" t="s">
        <v>62</v>
      </c>
      <c r="F86" s="7" t="s">
        <v>62</v>
      </c>
      <c r="G86" s="9">
        <v>45985</v>
      </c>
      <c r="H86" s="9">
        <v>46053</v>
      </c>
      <c r="I86" s="1">
        <f t="shared" si="63"/>
        <v>69</v>
      </c>
      <c r="J86" s="9" t="s">
        <v>25</v>
      </c>
      <c r="K86" s="9" t="s">
        <v>25</v>
      </c>
      <c r="L86" s="1">
        <v>0</v>
      </c>
      <c r="M86" s="1">
        <v>50</v>
      </c>
      <c r="N86" s="1">
        <v>50</v>
      </c>
      <c r="O86" s="1">
        <v>100</v>
      </c>
      <c r="P86" s="1">
        <f t="shared" si="64"/>
        <v>6900</v>
      </c>
      <c r="Q86" s="1">
        <f t="shared" si="65"/>
        <v>0</v>
      </c>
      <c r="R86" s="1"/>
      <c r="S86" s="1"/>
      <c r="T86" s="1">
        <f t="shared" si="66"/>
        <v>6900</v>
      </c>
      <c r="U86" s="11" t="s">
        <v>26</v>
      </c>
    </row>
    <row r="87" spans="1:21" ht="25.5" customHeight="1">
      <c r="A87" s="1">
        <v>83</v>
      </c>
      <c r="B87" s="1">
        <v>3162</v>
      </c>
      <c r="C87" s="12" t="s">
        <v>154</v>
      </c>
      <c r="D87" s="7" t="s">
        <v>145</v>
      </c>
      <c r="E87" s="7" t="s">
        <v>62</v>
      </c>
      <c r="F87" s="7" t="s">
        <v>62</v>
      </c>
      <c r="G87" s="9">
        <v>46017</v>
      </c>
      <c r="H87" s="9">
        <v>46053</v>
      </c>
      <c r="I87" s="1">
        <f t="shared" si="63"/>
        <v>37</v>
      </c>
      <c r="J87" s="9" t="s">
        <v>25</v>
      </c>
      <c r="K87" s="9" t="s">
        <v>25</v>
      </c>
      <c r="L87" s="1">
        <v>0</v>
      </c>
      <c r="M87" s="1">
        <v>50</v>
      </c>
      <c r="N87" s="1">
        <v>50</v>
      </c>
      <c r="O87" s="1">
        <v>100</v>
      </c>
      <c r="P87" s="1">
        <f t="shared" si="64"/>
        <v>3700</v>
      </c>
      <c r="Q87" s="1">
        <f t="shared" si="65"/>
        <v>0</v>
      </c>
      <c r="R87" s="1"/>
      <c r="S87" s="1"/>
      <c r="T87" s="1">
        <f t="shared" si="66"/>
        <v>3700</v>
      </c>
      <c r="U87" s="11" t="s">
        <v>26</v>
      </c>
    </row>
    <row r="88" spans="1:21" ht="24" customHeight="1">
      <c r="A88" s="1">
        <v>84</v>
      </c>
      <c r="B88" s="1">
        <v>3164</v>
      </c>
      <c r="C88" s="12" t="s">
        <v>155</v>
      </c>
      <c r="D88" s="7" t="s">
        <v>64</v>
      </c>
      <c r="E88" s="7" t="s">
        <v>62</v>
      </c>
      <c r="F88" s="7" t="s">
        <v>62</v>
      </c>
      <c r="G88" s="9">
        <v>46021</v>
      </c>
      <c r="H88" s="9">
        <v>46053</v>
      </c>
      <c r="I88" s="1">
        <f t="shared" si="63"/>
        <v>33</v>
      </c>
      <c r="J88" s="9" t="s">
        <v>25</v>
      </c>
      <c r="K88" s="9" t="s">
        <v>25</v>
      </c>
      <c r="L88" s="1">
        <v>0</v>
      </c>
      <c r="M88" s="1">
        <v>50</v>
      </c>
      <c r="N88" s="1">
        <v>50</v>
      </c>
      <c r="O88" s="1">
        <v>167</v>
      </c>
      <c r="P88" s="1">
        <f t="shared" si="64"/>
        <v>3300</v>
      </c>
      <c r="Q88" s="1">
        <f t="shared" si="65"/>
        <v>0</v>
      </c>
      <c r="R88" s="1"/>
      <c r="S88" s="1"/>
      <c r="T88" s="1">
        <f t="shared" si="66"/>
        <v>3300</v>
      </c>
      <c r="U88" s="11" t="s">
        <v>26</v>
      </c>
    </row>
    <row r="89" spans="1:21" ht="24" customHeight="1">
      <c r="A89" s="1">
        <v>85</v>
      </c>
      <c r="B89" s="1">
        <v>3163</v>
      </c>
      <c r="C89" s="12" t="s">
        <v>156</v>
      </c>
      <c r="D89" s="7" t="s">
        <v>157</v>
      </c>
      <c r="E89" s="7" t="s">
        <v>62</v>
      </c>
      <c r="F89" s="7" t="s">
        <v>62</v>
      </c>
      <c r="G89" s="9">
        <v>46017</v>
      </c>
      <c r="H89" s="9">
        <v>46053</v>
      </c>
      <c r="I89" s="1">
        <f t="shared" si="63"/>
        <v>37</v>
      </c>
      <c r="J89" s="9" t="s">
        <v>25</v>
      </c>
      <c r="K89" s="9" t="s">
        <v>25</v>
      </c>
      <c r="L89" s="1">
        <v>0</v>
      </c>
      <c r="M89" s="1">
        <v>50</v>
      </c>
      <c r="N89" s="1">
        <v>50</v>
      </c>
      <c r="O89" s="1">
        <v>267</v>
      </c>
      <c r="P89" s="1">
        <f t="shared" si="64"/>
        <v>3700</v>
      </c>
      <c r="Q89" s="1">
        <f t="shared" si="65"/>
        <v>0</v>
      </c>
      <c r="R89" s="1"/>
      <c r="S89" s="1"/>
      <c r="T89" s="1">
        <f t="shared" si="66"/>
        <v>3700</v>
      </c>
      <c r="U89" s="11" t="s">
        <v>158</v>
      </c>
    </row>
    <row r="90" spans="1:21" ht="22.5" customHeight="1">
      <c r="A90" s="1">
        <v>86</v>
      </c>
      <c r="B90" s="1">
        <v>3136</v>
      </c>
      <c r="C90" s="12" t="s">
        <v>159</v>
      </c>
      <c r="D90" s="7" t="s">
        <v>117</v>
      </c>
      <c r="E90" s="7" t="s">
        <v>62</v>
      </c>
      <c r="F90" s="7" t="s">
        <v>62</v>
      </c>
      <c r="G90" s="9">
        <v>45985</v>
      </c>
      <c r="H90" s="9">
        <v>46053</v>
      </c>
      <c r="I90" s="1">
        <f t="shared" si="63"/>
        <v>69</v>
      </c>
      <c r="J90" s="9" t="s">
        <v>25</v>
      </c>
      <c r="K90" s="9" t="s">
        <v>25</v>
      </c>
      <c r="L90" s="1">
        <v>0</v>
      </c>
      <c r="M90" s="1">
        <v>50</v>
      </c>
      <c r="N90" s="1">
        <v>50</v>
      </c>
      <c r="O90" s="1">
        <v>100</v>
      </c>
      <c r="P90" s="1">
        <f t="shared" si="64"/>
        <v>6900</v>
      </c>
      <c r="Q90" s="1">
        <f t="shared" si="65"/>
        <v>0</v>
      </c>
      <c r="R90" s="1"/>
      <c r="S90" s="1"/>
      <c r="T90" s="1">
        <f t="shared" si="66"/>
        <v>6900</v>
      </c>
      <c r="U90" s="11" t="s">
        <v>26</v>
      </c>
    </row>
    <row r="91" spans="1:21" ht="24.6" customHeight="1">
      <c r="A91" s="1">
        <v>87</v>
      </c>
      <c r="B91" s="1">
        <v>3161</v>
      </c>
      <c r="C91" s="12" t="s">
        <v>160</v>
      </c>
      <c r="D91" s="7" t="s">
        <v>64</v>
      </c>
      <c r="E91" s="7" t="s">
        <v>62</v>
      </c>
      <c r="F91" s="7" t="s">
        <v>62</v>
      </c>
      <c r="G91" s="9">
        <v>46020</v>
      </c>
      <c r="H91" s="9">
        <v>46037</v>
      </c>
      <c r="I91" s="1">
        <f t="shared" si="63"/>
        <v>18</v>
      </c>
      <c r="J91" s="9" t="s">
        <v>25</v>
      </c>
      <c r="K91" s="9" t="s">
        <v>25</v>
      </c>
      <c r="L91" s="1">
        <v>0</v>
      </c>
      <c r="M91" s="1">
        <v>50</v>
      </c>
      <c r="N91" s="1">
        <v>50</v>
      </c>
      <c r="O91" s="1">
        <v>134</v>
      </c>
      <c r="P91" s="1">
        <f t="shared" si="64"/>
        <v>1800</v>
      </c>
      <c r="Q91" s="1">
        <f t="shared" si="65"/>
        <v>0</v>
      </c>
      <c r="R91" s="1"/>
      <c r="S91" s="1"/>
      <c r="T91" s="1">
        <f t="shared" si="66"/>
        <v>1800</v>
      </c>
      <c r="U91" s="11" t="s">
        <v>158</v>
      </c>
    </row>
    <row r="92" spans="1:21" ht="24.6" customHeight="1">
      <c r="A92" s="1">
        <v>88</v>
      </c>
      <c r="B92" s="1">
        <v>3159</v>
      </c>
      <c r="C92" s="12" t="s">
        <v>161</v>
      </c>
      <c r="D92" s="7" t="s">
        <v>76</v>
      </c>
      <c r="E92" s="7" t="s">
        <v>62</v>
      </c>
      <c r="F92" s="7" t="s">
        <v>62</v>
      </c>
      <c r="G92" s="9">
        <v>46027</v>
      </c>
      <c r="H92" s="9">
        <v>46037</v>
      </c>
      <c r="I92" s="1">
        <f t="shared" ref="I92:I107" si="67">SUM(H92-G92)+1</f>
        <v>11</v>
      </c>
      <c r="J92" s="9" t="s">
        <v>25</v>
      </c>
      <c r="K92" s="9" t="s">
        <v>25</v>
      </c>
      <c r="L92" s="1">
        <v>0</v>
      </c>
      <c r="M92" s="1">
        <v>50</v>
      </c>
      <c r="N92" s="1">
        <v>50</v>
      </c>
      <c r="O92" s="1">
        <v>100</v>
      </c>
      <c r="P92" s="1">
        <f t="shared" si="64"/>
        <v>1100</v>
      </c>
      <c r="Q92" s="1">
        <f t="shared" si="65"/>
        <v>0</v>
      </c>
      <c r="R92" s="1"/>
      <c r="S92" s="1"/>
      <c r="T92" s="1">
        <f t="shared" si="66"/>
        <v>1100</v>
      </c>
      <c r="U92" s="11" t="s">
        <v>133</v>
      </c>
    </row>
    <row r="93" spans="1:21" ht="24" customHeight="1">
      <c r="A93" s="1">
        <v>89</v>
      </c>
      <c r="B93" s="1">
        <v>3160</v>
      </c>
      <c r="C93" s="12" t="s">
        <v>162</v>
      </c>
      <c r="D93" s="7" t="s">
        <v>117</v>
      </c>
      <c r="E93" s="7" t="s">
        <v>62</v>
      </c>
      <c r="F93" s="7" t="s">
        <v>62</v>
      </c>
      <c r="G93" s="9">
        <v>46027</v>
      </c>
      <c r="H93" s="9">
        <v>46037</v>
      </c>
      <c r="I93" s="1">
        <f t="shared" si="67"/>
        <v>11</v>
      </c>
      <c r="J93" s="9" t="s">
        <v>25</v>
      </c>
      <c r="K93" s="9" t="s">
        <v>25</v>
      </c>
      <c r="L93" s="1">
        <v>0</v>
      </c>
      <c r="M93" s="1">
        <v>50</v>
      </c>
      <c r="N93" s="1">
        <v>50</v>
      </c>
      <c r="O93" s="1">
        <v>100</v>
      </c>
      <c r="P93" s="1">
        <f t="shared" si="64"/>
        <v>1100</v>
      </c>
      <c r="Q93" s="1">
        <f t="shared" si="65"/>
        <v>0</v>
      </c>
      <c r="R93" s="1"/>
      <c r="S93" s="1"/>
      <c r="T93" s="1">
        <f t="shared" si="66"/>
        <v>1100</v>
      </c>
      <c r="U93" s="11" t="s">
        <v>133</v>
      </c>
    </row>
    <row r="94" spans="1:21" ht="24.6" customHeight="1">
      <c r="A94" s="1">
        <v>90</v>
      </c>
      <c r="B94" s="1">
        <v>3171</v>
      </c>
      <c r="C94" s="12" t="s">
        <v>163</v>
      </c>
      <c r="D94" s="7" t="s">
        <v>123</v>
      </c>
      <c r="E94" s="7" t="s">
        <v>62</v>
      </c>
      <c r="F94" s="7" t="s">
        <v>62</v>
      </c>
      <c r="G94" s="9">
        <v>46030</v>
      </c>
      <c r="H94" s="9">
        <v>46037</v>
      </c>
      <c r="I94" s="1">
        <f t="shared" si="67"/>
        <v>8</v>
      </c>
      <c r="J94" s="9" t="s">
        <v>25</v>
      </c>
      <c r="K94" s="9" t="s">
        <v>25</v>
      </c>
      <c r="L94" s="1">
        <v>0</v>
      </c>
      <c r="M94" s="1">
        <v>50</v>
      </c>
      <c r="N94" s="1">
        <v>50</v>
      </c>
      <c r="O94" s="1">
        <v>150</v>
      </c>
      <c r="P94" s="1">
        <f t="shared" si="64"/>
        <v>800</v>
      </c>
      <c r="Q94" s="1">
        <f t="shared" si="65"/>
        <v>0</v>
      </c>
      <c r="R94" s="1"/>
      <c r="S94" s="1"/>
      <c r="T94" s="1">
        <f t="shared" si="66"/>
        <v>800</v>
      </c>
      <c r="U94" s="11" t="s">
        <v>26</v>
      </c>
    </row>
    <row r="95" spans="1:21" ht="24.6" customHeight="1">
      <c r="A95" s="1">
        <v>91</v>
      </c>
      <c r="B95" s="1">
        <v>3173</v>
      </c>
      <c r="C95" s="12" t="s">
        <v>164</v>
      </c>
      <c r="D95" s="7" t="s">
        <v>145</v>
      </c>
      <c r="E95" s="7" t="s">
        <v>62</v>
      </c>
      <c r="F95" s="7" t="s">
        <v>62</v>
      </c>
      <c r="G95" s="9">
        <v>46031</v>
      </c>
      <c r="H95" s="9">
        <v>46037</v>
      </c>
      <c r="I95" s="1">
        <f t="shared" si="67"/>
        <v>7</v>
      </c>
      <c r="J95" s="9" t="s">
        <v>25</v>
      </c>
      <c r="K95" s="9" t="s">
        <v>25</v>
      </c>
      <c r="L95" s="1">
        <v>0</v>
      </c>
      <c r="M95" s="1">
        <v>50</v>
      </c>
      <c r="N95" s="1">
        <v>50</v>
      </c>
      <c r="O95" s="1">
        <v>117</v>
      </c>
      <c r="P95" s="1">
        <f t="shared" si="64"/>
        <v>700</v>
      </c>
      <c r="Q95" s="1">
        <f t="shared" si="65"/>
        <v>0</v>
      </c>
      <c r="R95" s="1"/>
      <c r="S95" s="1"/>
      <c r="T95" s="1">
        <f t="shared" si="66"/>
        <v>700</v>
      </c>
      <c r="U95" s="11" t="s">
        <v>26</v>
      </c>
    </row>
    <row r="96" spans="1:21" ht="24.6" customHeight="1">
      <c r="A96" s="1">
        <v>92</v>
      </c>
      <c r="B96" s="1">
        <v>3177</v>
      </c>
      <c r="C96" s="12" t="s">
        <v>165</v>
      </c>
      <c r="D96" s="7" t="s">
        <v>145</v>
      </c>
      <c r="E96" s="7" t="s">
        <v>62</v>
      </c>
      <c r="F96" s="7" t="s">
        <v>62</v>
      </c>
      <c r="G96" s="9">
        <v>46031</v>
      </c>
      <c r="H96" s="9">
        <v>46037</v>
      </c>
      <c r="I96" s="1">
        <f t="shared" si="67"/>
        <v>7</v>
      </c>
      <c r="J96" s="9" t="s">
        <v>25</v>
      </c>
      <c r="K96" s="9" t="s">
        <v>25</v>
      </c>
      <c r="L96" s="1">
        <v>0</v>
      </c>
      <c r="M96" s="1">
        <v>50</v>
      </c>
      <c r="N96" s="1">
        <v>50</v>
      </c>
      <c r="O96" s="1">
        <v>167</v>
      </c>
      <c r="P96" s="1">
        <f t="shared" si="64"/>
        <v>700</v>
      </c>
      <c r="Q96" s="1">
        <f t="shared" si="65"/>
        <v>0</v>
      </c>
      <c r="R96" s="1"/>
      <c r="S96" s="1"/>
      <c r="T96" s="1">
        <f t="shared" si="66"/>
        <v>700</v>
      </c>
      <c r="U96" s="11" t="s">
        <v>26</v>
      </c>
    </row>
    <row r="97" spans="1:21" ht="24" customHeight="1">
      <c r="A97" s="1">
        <v>93</v>
      </c>
      <c r="B97" s="1">
        <v>3169</v>
      </c>
      <c r="C97" s="12" t="s">
        <v>166</v>
      </c>
      <c r="D97" s="7" t="s">
        <v>117</v>
      </c>
      <c r="E97" s="7" t="s">
        <v>62</v>
      </c>
      <c r="F97" s="7" t="s">
        <v>62</v>
      </c>
      <c r="G97" s="9">
        <v>46028</v>
      </c>
      <c r="H97" s="9">
        <v>46037</v>
      </c>
      <c r="I97" s="1">
        <f t="shared" si="67"/>
        <v>10</v>
      </c>
      <c r="J97" s="9" t="s">
        <v>25</v>
      </c>
      <c r="K97" s="9" t="s">
        <v>25</v>
      </c>
      <c r="L97" s="1">
        <v>0</v>
      </c>
      <c r="M97" s="1">
        <v>50</v>
      </c>
      <c r="N97" s="1">
        <v>50</v>
      </c>
      <c r="O97" s="1">
        <v>67</v>
      </c>
      <c r="P97" s="1">
        <f t="shared" si="64"/>
        <v>1000</v>
      </c>
      <c r="Q97" s="1">
        <f t="shared" si="65"/>
        <v>0</v>
      </c>
      <c r="R97" s="1"/>
      <c r="S97" s="1"/>
      <c r="T97" s="1">
        <f t="shared" si="66"/>
        <v>1000</v>
      </c>
      <c r="U97" s="11" t="s">
        <v>26</v>
      </c>
    </row>
    <row r="98" spans="1:21" ht="24.6" customHeight="1">
      <c r="A98" s="1">
        <v>94</v>
      </c>
      <c r="B98" s="1">
        <v>3175</v>
      </c>
      <c r="C98" s="12" t="s">
        <v>167</v>
      </c>
      <c r="D98" s="7" t="s">
        <v>93</v>
      </c>
      <c r="E98" s="7" t="s">
        <v>62</v>
      </c>
      <c r="F98" s="7" t="s">
        <v>62</v>
      </c>
      <c r="G98" s="9">
        <v>46027</v>
      </c>
      <c r="H98" s="9">
        <v>46037</v>
      </c>
      <c r="I98" s="1">
        <f t="shared" si="67"/>
        <v>11</v>
      </c>
      <c r="J98" s="9" t="s">
        <v>25</v>
      </c>
      <c r="K98" s="9" t="s">
        <v>25</v>
      </c>
      <c r="L98" s="1">
        <v>0</v>
      </c>
      <c r="M98" s="1">
        <v>50</v>
      </c>
      <c r="N98" s="1">
        <v>50</v>
      </c>
      <c r="O98" s="1">
        <v>100</v>
      </c>
      <c r="P98" s="1">
        <f t="shared" si="64"/>
        <v>1100</v>
      </c>
      <c r="Q98" s="1">
        <f t="shared" si="65"/>
        <v>0</v>
      </c>
      <c r="R98" s="1"/>
      <c r="S98" s="1"/>
      <c r="T98" s="1">
        <f t="shared" si="66"/>
        <v>1100</v>
      </c>
      <c r="U98" s="11" t="s">
        <v>133</v>
      </c>
    </row>
    <row r="99" spans="1:21" ht="24" customHeight="1">
      <c r="A99" s="1">
        <v>95</v>
      </c>
      <c r="B99" s="1">
        <v>3178</v>
      </c>
      <c r="C99" s="12" t="s">
        <v>168</v>
      </c>
      <c r="D99" s="7" t="s">
        <v>93</v>
      </c>
      <c r="E99" s="7" t="s">
        <v>62</v>
      </c>
      <c r="F99" s="7" t="s">
        <v>62</v>
      </c>
      <c r="G99" s="9">
        <v>46028</v>
      </c>
      <c r="H99" s="9">
        <v>46037</v>
      </c>
      <c r="I99" s="1">
        <f t="shared" si="67"/>
        <v>10</v>
      </c>
      <c r="J99" s="9" t="s">
        <v>25</v>
      </c>
      <c r="K99" s="9" t="s">
        <v>25</v>
      </c>
      <c r="L99" s="1">
        <v>0</v>
      </c>
      <c r="M99" s="1">
        <v>50</v>
      </c>
      <c r="N99" s="1">
        <v>50</v>
      </c>
      <c r="O99" s="1">
        <v>134</v>
      </c>
      <c r="P99" s="1">
        <f t="shared" si="64"/>
        <v>1000</v>
      </c>
      <c r="Q99" s="1">
        <f t="shared" si="65"/>
        <v>0</v>
      </c>
      <c r="R99" s="1"/>
      <c r="S99" s="1"/>
      <c r="T99" s="1">
        <f t="shared" si="66"/>
        <v>1000</v>
      </c>
      <c r="U99" s="11" t="s">
        <v>133</v>
      </c>
    </row>
    <row r="100" spans="1:21" ht="24.6" customHeight="1">
      <c r="A100" s="1">
        <v>96</v>
      </c>
      <c r="B100" s="1">
        <v>3181</v>
      </c>
      <c r="C100" s="12" t="s">
        <v>169</v>
      </c>
      <c r="D100" s="7" t="s">
        <v>93</v>
      </c>
      <c r="E100" s="7" t="s">
        <v>62</v>
      </c>
      <c r="F100" s="7" t="s">
        <v>62</v>
      </c>
      <c r="G100" s="9">
        <v>46028</v>
      </c>
      <c r="H100" s="9">
        <v>46037</v>
      </c>
      <c r="I100" s="1">
        <f t="shared" si="67"/>
        <v>10</v>
      </c>
      <c r="J100" s="9" t="s">
        <v>25</v>
      </c>
      <c r="K100" s="9" t="s">
        <v>25</v>
      </c>
      <c r="L100" s="1">
        <v>0</v>
      </c>
      <c r="M100" s="1">
        <v>50</v>
      </c>
      <c r="N100" s="1">
        <v>50</v>
      </c>
      <c r="O100" s="1">
        <v>100</v>
      </c>
      <c r="P100" s="1">
        <f t="shared" si="64"/>
        <v>1000</v>
      </c>
      <c r="Q100" s="1">
        <f t="shared" si="65"/>
        <v>0</v>
      </c>
      <c r="R100" s="1"/>
      <c r="S100" s="1"/>
      <c r="T100" s="1">
        <f t="shared" si="66"/>
        <v>1000</v>
      </c>
      <c r="U100" s="11" t="s">
        <v>158</v>
      </c>
    </row>
    <row r="101" spans="1:21" ht="24.6" customHeight="1">
      <c r="A101" s="1">
        <v>97</v>
      </c>
      <c r="B101" s="1">
        <v>3176</v>
      </c>
      <c r="C101" s="12" t="s">
        <v>170</v>
      </c>
      <c r="D101" s="7" t="s">
        <v>93</v>
      </c>
      <c r="E101" s="7" t="s">
        <v>62</v>
      </c>
      <c r="F101" s="7" t="s">
        <v>62</v>
      </c>
      <c r="G101" s="9">
        <v>46028</v>
      </c>
      <c r="H101" s="9">
        <v>46037</v>
      </c>
      <c r="I101" s="1">
        <f t="shared" si="67"/>
        <v>10</v>
      </c>
      <c r="J101" s="9" t="s">
        <v>25</v>
      </c>
      <c r="K101" s="9" t="s">
        <v>25</v>
      </c>
      <c r="L101" s="1">
        <v>0</v>
      </c>
      <c r="M101" s="1">
        <v>50</v>
      </c>
      <c r="N101" s="1">
        <v>50</v>
      </c>
      <c r="O101" s="1">
        <v>100</v>
      </c>
      <c r="P101" s="1">
        <f t="shared" si="64"/>
        <v>1000</v>
      </c>
      <c r="Q101" s="1">
        <f t="shared" si="65"/>
        <v>0</v>
      </c>
      <c r="R101" s="1"/>
      <c r="S101" s="1"/>
      <c r="T101" s="1">
        <f t="shared" si="66"/>
        <v>1000</v>
      </c>
      <c r="U101" s="11" t="s">
        <v>158</v>
      </c>
    </row>
    <row r="102" spans="1:21" ht="24.6" customHeight="1">
      <c r="A102" s="1">
        <v>98</v>
      </c>
      <c r="B102" s="1">
        <v>3182</v>
      </c>
      <c r="C102" s="12" t="s">
        <v>171</v>
      </c>
      <c r="D102" s="7" t="s">
        <v>93</v>
      </c>
      <c r="E102" s="7" t="s">
        <v>62</v>
      </c>
      <c r="F102" s="7" t="s">
        <v>62</v>
      </c>
      <c r="G102" s="9">
        <v>46028</v>
      </c>
      <c r="H102" s="9">
        <v>46037</v>
      </c>
      <c r="I102" s="1">
        <f t="shared" si="67"/>
        <v>10</v>
      </c>
      <c r="J102" s="9" t="s">
        <v>25</v>
      </c>
      <c r="K102" s="9" t="s">
        <v>25</v>
      </c>
      <c r="L102" s="1">
        <v>0</v>
      </c>
      <c r="M102" s="1">
        <v>50</v>
      </c>
      <c r="N102" s="1">
        <v>50</v>
      </c>
      <c r="O102" s="1">
        <v>67</v>
      </c>
      <c r="P102" s="1">
        <f t="shared" si="64"/>
        <v>1000</v>
      </c>
      <c r="Q102" s="1">
        <f t="shared" si="65"/>
        <v>0</v>
      </c>
      <c r="R102" s="1"/>
      <c r="S102" s="1"/>
      <c r="T102" s="1">
        <f t="shared" si="66"/>
        <v>1000</v>
      </c>
      <c r="U102" s="11" t="s">
        <v>158</v>
      </c>
    </row>
    <row r="103" spans="1:21" ht="24.6" customHeight="1">
      <c r="A103" s="1">
        <v>99</v>
      </c>
      <c r="B103" s="1">
        <v>3166</v>
      </c>
      <c r="C103" s="12" t="s">
        <v>172</v>
      </c>
      <c r="D103" s="7" t="s">
        <v>76</v>
      </c>
      <c r="E103" s="7" t="s">
        <v>62</v>
      </c>
      <c r="F103" s="7" t="s">
        <v>62</v>
      </c>
      <c r="G103" s="9">
        <v>46018</v>
      </c>
      <c r="H103" s="9">
        <v>46037</v>
      </c>
      <c r="I103" s="1">
        <f t="shared" si="67"/>
        <v>20</v>
      </c>
      <c r="J103" s="9" t="s">
        <v>25</v>
      </c>
      <c r="K103" s="9" t="s">
        <v>25</v>
      </c>
      <c r="L103" s="1">
        <v>0</v>
      </c>
      <c r="M103" s="1">
        <v>50</v>
      </c>
      <c r="N103" s="1">
        <v>50</v>
      </c>
      <c r="O103" s="1">
        <v>117</v>
      </c>
      <c r="P103" s="1">
        <f t="shared" si="64"/>
        <v>2000</v>
      </c>
      <c r="Q103" s="1">
        <f t="shared" si="65"/>
        <v>0</v>
      </c>
      <c r="R103" s="1"/>
      <c r="S103" s="1"/>
      <c r="T103" s="1">
        <f t="shared" si="66"/>
        <v>2000</v>
      </c>
      <c r="U103" s="11" t="s">
        <v>26</v>
      </c>
    </row>
    <row r="104" spans="1:21" ht="24.6" customHeight="1">
      <c r="A104" s="1">
        <v>100</v>
      </c>
      <c r="B104" s="1">
        <v>3165</v>
      </c>
      <c r="C104" s="12" t="s">
        <v>173</v>
      </c>
      <c r="D104" s="7" t="s">
        <v>69</v>
      </c>
      <c r="E104" s="7" t="s">
        <v>62</v>
      </c>
      <c r="F104" s="7" t="s">
        <v>62</v>
      </c>
      <c r="G104" s="9">
        <v>46028</v>
      </c>
      <c r="H104" s="9">
        <v>46037</v>
      </c>
      <c r="I104" s="1">
        <f t="shared" si="67"/>
        <v>10</v>
      </c>
      <c r="J104" s="9" t="s">
        <v>25</v>
      </c>
      <c r="K104" s="9" t="s">
        <v>25</v>
      </c>
      <c r="L104" s="1">
        <v>0</v>
      </c>
      <c r="M104" s="1">
        <v>50</v>
      </c>
      <c r="N104" s="1">
        <v>50</v>
      </c>
      <c r="O104" s="1">
        <v>184</v>
      </c>
      <c r="P104" s="1">
        <f t="shared" si="64"/>
        <v>1000</v>
      </c>
      <c r="Q104" s="1">
        <f t="shared" si="65"/>
        <v>0</v>
      </c>
      <c r="R104" s="1"/>
      <c r="S104" s="1"/>
      <c r="T104" s="1">
        <f t="shared" si="66"/>
        <v>1000</v>
      </c>
      <c r="U104" s="11" t="s">
        <v>26</v>
      </c>
    </row>
    <row r="105" spans="1:21" ht="24.6" customHeight="1">
      <c r="A105" s="1">
        <v>101</v>
      </c>
      <c r="B105" s="1">
        <v>3183</v>
      </c>
      <c r="C105" s="12" t="s">
        <v>174</v>
      </c>
      <c r="D105" s="7" t="s">
        <v>64</v>
      </c>
      <c r="E105" s="7" t="s">
        <v>62</v>
      </c>
      <c r="F105" s="7" t="s">
        <v>62</v>
      </c>
      <c r="G105" s="9">
        <v>46034</v>
      </c>
      <c r="H105" s="9">
        <v>46037</v>
      </c>
      <c r="I105" s="1">
        <f t="shared" si="67"/>
        <v>4</v>
      </c>
      <c r="J105" s="9" t="s">
        <v>25</v>
      </c>
      <c r="K105" s="9" t="s">
        <v>25</v>
      </c>
      <c r="L105" s="1">
        <v>0</v>
      </c>
      <c r="M105" s="1">
        <v>50</v>
      </c>
      <c r="N105" s="1">
        <v>50</v>
      </c>
      <c r="O105" s="1">
        <v>100</v>
      </c>
      <c r="P105" s="1">
        <f t="shared" si="64"/>
        <v>400</v>
      </c>
      <c r="Q105" s="1">
        <f t="shared" si="65"/>
        <v>0</v>
      </c>
      <c r="R105" s="1"/>
      <c r="S105" s="1"/>
      <c r="T105" s="1">
        <f t="shared" si="66"/>
        <v>400</v>
      </c>
      <c r="U105" s="11" t="s">
        <v>133</v>
      </c>
    </row>
    <row r="106" spans="1:21" ht="24.6" customHeight="1">
      <c r="A106" s="1">
        <v>102</v>
      </c>
      <c r="B106" s="1">
        <v>3184</v>
      </c>
      <c r="C106" s="12" t="s">
        <v>175</v>
      </c>
      <c r="D106" s="7" t="s">
        <v>64</v>
      </c>
      <c r="E106" s="7" t="s">
        <v>62</v>
      </c>
      <c r="F106" s="7" t="s">
        <v>62</v>
      </c>
      <c r="G106" s="9">
        <v>46034</v>
      </c>
      <c r="H106" s="9">
        <v>46037</v>
      </c>
      <c r="I106" s="1">
        <f t="shared" si="67"/>
        <v>4</v>
      </c>
      <c r="J106" s="9" t="s">
        <v>25</v>
      </c>
      <c r="K106" s="9" t="s">
        <v>25</v>
      </c>
      <c r="L106" s="1">
        <v>0</v>
      </c>
      <c r="M106" s="1">
        <v>50</v>
      </c>
      <c r="N106" s="1">
        <v>50</v>
      </c>
      <c r="O106" s="1">
        <v>117</v>
      </c>
      <c r="P106" s="1">
        <f t="shared" si="64"/>
        <v>400</v>
      </c>
      <c r="Q106" s="1">
        <f t="shared" si="65"/>
        <v>0</v>
      </c>
      <c r="R106" s="1"/>
      <c r="S106" s="1"/>
      <c r="T106" s="1">
        <f t="shared" si="66"/>
        <v>400</v>
      </c>
      <c r="U106" s="11" t="s">
        <v>133</v>
      </c>
    </row>
    <row r="107" spans="1:21" ht="24" customHeight="1">
      <c r="A107" s="1">
        <v>103</v>
      </c>
      <c r="B107" s="1">
        <v>3168</v>
      </c>
      <c r="C107" s="12" t="s">
        <v>176</v>
      </c>
      <c r="D107" s="7" t="s">
        <v>76</v>
      </c>
      <c r="E107" s="7" t="s">
        <v>62</v>
      </c>
      <c r="F107" s="7" t="s">
        <v>62</v>
      </c>
      <c r="G107" s="9">
        <v>46034</v>
      </c>
      <c r="H107" s="9">
        <v>46037</v>
      </c>
      <c r="I107" s="1">
        <f t="shared" si="67"/>
        <v>4</v>
      </c>
      <c r="J107" s="9" t="s">
        <v>25</v>
      </c>
      <c r="K107" s="9" t="s">
        <v>25</v>
      </c>
      <c r="L107" s="1">
        <v>0</v>
      </c>
      <c r="M107" s="1">
        <v>50</v>
      </c>
      <c r="N107" s="1">
        <v>50</v>
      </c>
      <c r="O107" s="1">
        <v>150</v>
      </c>
      <c r="P107" s="1">
        <f t="shared" si="64"/>
        <v>400</v>
      </c>
      <c r="Q107" s="1">
        <f t="shared" si="65"/>
        <v>0</v>
      </c>
      <c r="R107" s="1"/>
      <c r="S107" s="1"/>
      <c r="T107" s="1">
        <f t="shared" si="66"/>
        <v>400</v>
      </c>
      <c r="U107" s="11" t="s">
        <v>133</v>
      </c>
    </row>
    <row r="108" spans="1:21" ht="24.6" customHeight="1">
      <c r="A108" s="1"/>
      <c r="G108" s="9"/>
      <c r="H108" s="9"/>
      <c r="I108" s="1"/>
      <c r="J108" s="8"/>
      <c r="K108" s="8"/>
      <c r="L108" s="1"/>
      <c r="M108" s="6"/>
      <c r="N108" s="6"/>
      <c r="O108" s="6"/>
      <c r="P108" s="1"/>
      <c r="Q108" s="1"/>
      <c r="R108" s="1"/>
      <c r="S108" s="1"/>
      <c r="T108" s="10">
        <f>SUM(T5:T107)</f>
        <v>835951.19</v>
      </c>
      <c r="U108" s="2"/>
    </row>
    <row r="109" spans="1:21" ht="24.6" customHeight="1">
      <c r="A109" s="27" t="s">
        <v>177</v>
      </c>
      <c r="B109" s="22"/>
      <c r="C109" s="22"/>
      <c r="D109" s="22"/>
      <c r="E109" s="27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3"/>
    </row>
    <row r="110" spans="1:21">
      <c r="A110" s="28"/>
      <c r="B110" s="24"/>
      <c r="C110" s="24"/>
      <c r="D110" s="24"/>
      <c r="E110" s="28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5"/>
    </row>
    <row r="111" spans="1:21" ht="14.45" customHeight="1">
      <c r="A111" s="36" t="s">
        <v>178</v>
      </c>
      <c r="B111" s="32"/>
      <c r="C111" s="32"/>
      <c r="D111" s="32"/>
      <c r="E111" s="22"/>
      <c r="F111" s="22"/>
      <c r="G111" s="22"/>
      <c r="H111" s="22"/>
      <c r="I111" s="22"/>
      <c r="J111" s="22"/>
      <c r="K111" s="22"/>
      <c r="L111" s="32"/>
      <c r="M111" s="32"/>
      <c r="N111" s="32"/>
      <c r="O111" s="32"/>
      <c r="P111" s="32"/>
      <c r="Q111" s="32"/>
      <c r="R111" s="32"/>
      <c r="S111" s="32"/>
      <c r="T111" s="33"/>
    </row>
    <row r="112" spans="1:21" ht="14.45" customHeight="1">
      <c r="A112" s="40"/>
      <c r="B112" s="34"/>
      <c r="C112" s="34"/>
      <c r="D112" s="34"/>
      <c r="E112" s="24"/>
      <c r="F112" s="24"/>
      <c r="G112" s="24"/>
      <c r="H112" s="24"/>
      <c r="I112" s="24"/>
      <c r="J112" s="24"/>
      <c r="K112" s="24"/>
      <c r="L112" s="34"/>
      <c r="M112" s="34"/>
      <c r="N112" s="34"/>
      <c r="O112" s="34"/>
      <c r="P112" s="34"/>
      <c r="Q112" s="34"/>
      <c r="R112" s="34"/>
      <c r="S112" s="34"/>
      <c r="T112" s="35"/>
    </row>
    <row r="113" spans="1:20" ht="14.45" customHeight="1">
      <c r="A113" s="36"/>
      <c r="B113" s="32"/>
      <c r="C113" s="32"/>
      <c r="D113" s="32"/>
      <c r="E113" s="36"/>
      <c r="F113" s="32"/>
      <c r="G113" s="32"/>
      <c r="H113" s="32"/>
      <c r="I113" s="32"/>
      <c r="J113" s="32"/>
      <c r="K113" s="33"/>
      <c r="L113" s="36"/>
      <c r="M113" s="32"/>
      <c r="N113" s="32"/>
      <c r="O113" s="32"/>
      <c r="P113" s="32"/>
      <c r="Q113" s="32"/>
      <c r="R113" s="32"/>
      <c r="S113" s="32"/>
      <c r="T113" s="33"/>
    </row>
    <row r="114" spans="1:20" ht="14.45" customHeight="1">
      <c r="A114" s="37"/>
      <c r="B114" s="38"/>
      <c r="C114" s="38"/>
      <c r="D114" s="38"/>
      <c r="E114" s="37"/>
      <c r="F114" s="38"/>
      <c r="G114" s="38"/>
      <c r="H114" s="38"/>
      <c r="I114" s="38"/>
      <c r="J114" s="38"/>
      <c r="K114" s="39"/>
      <c r="L114" s="37"/>
      <c r="M114" s="38"/>
      <c r="N114" s="38"/>
      <c r="O114" s="38"/>
      <c r="P114" s="38"/>
      <c r="Q114" s="38"/>
      <c r="R114" s="38"/>
      <c r="S114" s="38"/>
      <c r="T114" s="39"/>
    </row>
    <row r="115" spans="1:20" ht="14.45" customHeight="1">
      <c r="A115" s="40"/>
      <c r="B115" s="34"/>
      <c r="C115" s="34"/>
      <c r="D115" s="34"/>
      <c r="E115" s="40"/>
      <c r="F115" s="34"/>
      <c r="G115" s="34"/>
      <c r="H115" s="34"/>
      <c r="I115" s="34"/>
      <c r="J115" s="34"/>
      <c r="K115" s="35"/>
      <c r="L115" s="40"/>
      <c r="M115" s="34"/>
      <c r="N115" s="34"/>
      <c r="O115" s="34"/>
      <c r="P115" s="34"/>
      <c r="Q115" s="34"/>
      <c r="R115" s="34"/>
      <c r="S115" s="34"/>
      <c r="T115" s="35"/>
    </row>
    <row r="116" spans="1:20">
      <c r="A116" s="41" t="s">
        <v>179</v>
      </c>
      <c r="B116" s="41"/>
      <c r="C116" s="18"/>
      <c r="D116" s="44"/>
      <c r="E116" s="42" t="s">
        <v>180</v>
      </c>
      <c r="F116" s="18"/>
      <c r="G116" s="44"/>
      <c r="H116" s="44"/>
      <c r="I116" s="44"/>
      <c r="J116" s="44"/>
      <c r="K116" s="19"/>
      <c r="L116" s="18" t="s">
        <v>181</v>
      </c>
      <c r="M116" s="19"/>
      <c r="N116" s="27" t="s">
        <v>182</v>
      </c>
      <c r="O116" s="22"/>
      <c r="P116" s="22"/>
      <c r="Q116" s="22"/>
      <c r="R116" s="22"/>
      <c r="S116" s="22"/>
      <c r="T116" s="23"/>
    </row>
    <row r="117" spans="1:20">
      <c r="A117" s="41"/>
      <c r="B117" s="41"/>
      <c r="C117" s="20"/>
      <c r="D117" s="45"/>
      <c r="E117" s="43"/>
      <c r="F117" s="20"/>
      <c r="G117" s="45"/>
      <c r="H117" s="45"/>
      <c r="I117" s="45"/>
      <c r="J117" s="45"/>
      <c r="K117" s="21"/>
      <c r="L117" s="20"/>
      <c r="M117" s="21"/>
      <c r="N117" s="28"/>
      <c r="O117" s="24"/>
      <c r="P117" s="24"/>
      <c r="Q117" s="24"/>
      <c r="R117" s="24"/>
      <c r="S117" s="24"/>
      <c r="T117" s="25"/>
    </row>
    <row r="120" spans="1:20">
      <c r="Q120" s="5">
        <f>+Q51-1500</f>
        <v>6777</v>
      </c>
    </row>
  </sheetData>
  <autoFilter ref="A4:U112" xr:uid="{1983779C-5696-4BD2-98BE-2E62D6921580}"/>
  <mergeCells count="35">
    <mergeCell ref="U2:U4"/>
    <mergeCell ref="A1:T1"/>
    <mergeCell ref="G3:H3"/>
    <mergeCell ref="J3:K3"/>
    <mergeCell ref="G2:K2"/>
    <mergeCell ref="T2:T4"/>
    <mergeCell ref="M2:M4"/>
    <mergeCell ref="N2:N4"/>
    <mergeCell ref="O2:O4"/>
    <mergeCell ref="P3:P4"/>
    <mergeCell ref="Q3:Q4"/>
    <mergeCell ref="B2:B4"/>
    <mergeCell ref="A2:A4"/>
    <mergeCell ref="F2:F4"/>
    <mergeCell ref="D2:D4"/>
    <mergeCell ref="A116:B117"/>
    <mergeCell ref="A109:D110"/>
    <mergeCell ref="A111:D112"/>
    <mergeCell ref="E111:K112"/>
    <mergeCell ref="E113:K115"/>
    <mergeCell ref="E116:E117"/>
    <mergeCell ref="F116:K117"/>
    <mergeCell ref="A113:D115"/>
    <mergeCell ref="C116:D117"/>
    <mergeCell ref="E109:K110"/>
    <mergeCell ref="L116:M117"/>
    <mergeCell ref="L109:T110"/>
    <mergeCell ref="R3:R4"/>
    <mergeCell ref="N116:T117"/>
    <mergeCell ref="C2:C4"/>
    <mergeCell ref="E2:E4"/>
    <mergeCell ref="L111:T112"/>
    <mergeCell ref="L113:T115"/>
    <mergeCell ref="P2:S2"/>
    <mergeCell ref="S3:S4"/>
  </mergeCells>
  <pageMargins left="0.25" right="0.25" top="0.75" bottom="0.75" header="0.3" footer="0.3"/>
  <pageSetup paperSize="9" scale="2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4B75-B86F-4619-9650-355924CCFA91}">
  <dimension ref="A1:B214"/>
  <sheetViews>
    <sheetView workbookViewId="0">
      <pane ySplit="1" topLeftCell="A32" activePane="bottomLeft" state="frozen"/>
      <selection pane="bottomLeft" activeCell="A70" sqref="A70"/>
    </sheetView>
  </sheetViews>
  <sheetFormatPr defaultRowHeight="15"/>
  <cols>
    <col min="1" max="1" width="9.140625" style="14"/>
    <col min="2" max="2" width="10.5703125" bestFit="1" customWidth="1"/>
  </cols>
  <sheetData>
    <row r="1" spans="1:2" ht="19.5" customHeight="1">
      <c r="A1" s="14" t="s">
        <v>183</v>
      </c>
      <c r="B1" s="14" t="s">
        <v>184</v>
      </c>
    </row>
    <row r="2" spans="1:2">
      <c r="A2" s="14">
        <v>2025</v>
      </c>
      <c r="B2" s="15">
        <v>55000</v>
      </c>
    </row>
    <row r="3" spans="1:2">
      <c r="A3" s="14">
        <v>2026</v>
      </c>
      <c r="B3" s="15">
        <v>40000</v>
      </c>
    </row>
    <row r="4" spans="1:2">
      <c r="A4" s="14">
        <v>2055</v>
      </c>
      <c r="B4" s="15">
        <v>36983</v>
      </c>
    </row>
    <row r="5" spans="1:2">
      <c r="A5" s="14">
        <v>2057</v>
      </c>
      <c r="B5" s="15">
        <v>21152</v>
      </c>
    </row>
    <row r="6" spans="1:2">
      <c r="A6" s="14">
        <v>2053</v>
      </c>
      <c r="B6" s="15">
        <v>24522</v>
      </c>
    </row>
    <row r="7" spans="1:2">
      <c r="A7" s="14" t="s">
        <v>34</v>
      </c>
      <c r="B7" s="15">
        <v>39835</v>
      </c>
    </row>
    <row r="8" spans="1:2">
      <c r="A8" s="14">
        <v>2062</v>
      </c>
      <c r="B8" s="15">
        <v>36425</v>
      </c>
    </row>
    <row r="9" spans="1:2">
      <c r="A9" s="14">
        <v>2061</v>
      </c>
      <c r="B9" s="15">
        <v>8408</v>
      </c>
    </row>
    <row r="10" spans="1:2">
      <c r="A10" s="14">
        <v>2063</v>
      </c>
      <c r="B10" s="15">
        <v>3595</v>
      </c>
    </row>
    <row r="11" spans="1:2">
      <c r="A11" s="14">
        <v>2060</v>
      </c>
      <c r="B11" s="15">
        <v>34131</v>
      </c>
    </row>
    <row r="12" spans="1:2">
      <c r="A12" s="14">
        <v>2054</v>
      </c>
      <c r="B12" s="15">
        <v>34131</v>
      </c>
    </row>
    <row r="13" spans="1:2">
      <c r="A13" s="14">
        <v>2051</v>
      </c>
      <c r="B13" s="15">
        <v>2294</v>
      </c>
    </row>
    <row r="14" spans="1:2">
      <c r="A14" s="14">
        <v>2052</v>
      </c>
      <c r="B14" s="15">
        <v>1612.9</v>
      </c>
    </row>
    <row r="15" spans="1:2">
      <c r="A15" s="14">
        <v>2064</v>
      </c>
      <c r="B15" s="15">
        <v>2149</v>
      </c>
    </row>
    <row r="16" spans="1:2">
      <c r="A16" s="14">
        <v>2001</v>
      </c>
      <c r="B16" s="15">
        <v>49825</v>
      </c>
    </row>
    <row r="17" spans="1:2">
      <c r="A17" s="14" t="s">
        <v>56</v>
      </c>
      <c r="B17" s="15">
        <v>6200</v>
      </c>
    </row>
    <row r="18" spans="1:2">
      <c r="A18" s="14">
        <v>3085</v>
      </c>
      <c r="B18" s="15">
        <v>7200</v>
      </c>
    </row>
    <row r="19" spans="1:2">
      <c r="A19" s="14">
        <v>3093</v>
      </c>
      <c r="B19" s="15">
        <v>3582.19</v>
      </c>
    </row>
    <row r="20" spans="1:2">
      <c r="A20" s="14">
        <v>3092</v>
      </c>
      <c r="B20" s="15">
        <v>10832.19</v>
      </c>
    </row>
    <row r="21" spans="1:2">
      <c r="A21" s="14">
        <v>3089</v>
      </c>
      <c r="B21" s="15">
        <v>591</v>
      </c>
    </row>
    <row r="22" spans="1:2">
      <c r="A22" s="14">
        <v>3090</v>
      </c>
      <c r="B22" s="15">
        <v>10850</v>
      </c>
    </row>
    <row r="23" spans="1:2">
      <c r="A23" s="14">
        <v>3087</v>
      </c>
      <c r="B23" s="15">
        <v>10354</v>
      </c>
    </row>
    <row r="24" spans="1:2">
      <c r="A24" s="14">
        <v>3086</v>
      </c>
      <c r="B24" s="15">
        <v>4650</v>
      </c>
    </row>
    <row r="25" spans="1:2">
      <c r="A25" s="14">
        <v>3100</v>
      </c>
      <c r="B25" s="15">
        <v>9300</v>
      </c>
    </row>
    <row r="26" spans="1:2">
      <c r="A26" s="14">
        <v>3088</v>
      </c>
      <c r="B26" s="15">
        <v>7507.51</v>
      </c>
    </row>
    <row r="27" spans="1:2">
      <c r="A27" s="14">
        <v>3101</v>
      </c>
      <c r="B27" s="15">
        <v>8665.75</v>
      </c>
    </row>
    <row r="28" spans="1:2">
      <c r="A28" s="14" t="s">
        <v>77</v>
      </c>
      <c r="B28" s="15">
        <v>10354</v>
      </c>
    </row>
    <row r="29" spans="1:2">
      <c r="A29" s="14" t="s">
        <v>79</v>
      </c>
      <c r="B29" s="15">
        <v>9465.7800000000007</v>
      </c>
    </row>
    <row r="30" spans="1:2">
      <c r="A30" s="14">
        <v>3096</v>
      </c>
      <c r="B30" s="15">
        <v>7254</v>
      </c>
    </row>
    <row r="31" spans="1:2">
      <c r="A31" s="14" t="s">
        <v>82</v>
      </c>
      <c r="B31" s="15">
        <v>13510.99</v>
      </c>
    </row>
    <row r="32" spans="1:2">
      <c r="A32" s="14" t="s">
        <v>84</v>
      </c>
      <c r="B32" s="15">
        <v>6200</v>
      </c>
    </row>
    <row r="33" spans="1:2">
      <c r="A33" s="14" t="s">
        <v>87</v>
      </c>
      <c r="B33" s="15">
        <v>12069.75</v>
      </c>
    </row>
    <row r="34" spans="1:2">
      <c r="A34" s="14" t="s">
        <v>89</v>
      </c>
      <c r="B34" s="15">
        <v>6727</v>
      </c>
    </row>
    <row r="35" spans="1:2">
      <c r="A35" s="14" t="s">
        <v>91</v>
      </c>
      <c r="B35" s="15">
        <v>6200</v>
      </c>
    </row>
    <row r="36" spans="1:2">
      <c r="A36" s="14">
        <v>3105</v>
      </c>
      <c r="B36" s="15">
        <v>5177</v>
      </c>
    </row>
    <row r="37" spans="1:2">
      <c r="A37" s="14" t="s">
        <v>95</v>
      </c>
      <c r="B37" s="15">
        <v>7254</v>
      </c>
    </row>
    <row r="38" spans="1:2">
      <c r="A38" s="14" t="s">
        <v>97</v>
      </c>
      <c r="B38" s="15">
        <v>6727</v>
      </c>
    </row>
    <row r="39" spans="1:2">
      <c r="A39" s="14">
        <v>3107</v>
      </c>
      <c r="B39" s="15">
        <v>7841.73</v>
      </c>
    </row>
    <row r="40" spans="1:2">
      <c r="A40" s="14">
        <v>3106</v>
      </c>
      <c r="B40" s="15">
        <v>3702.33</v>
      </c>
    </row>
    <row r="41" spans="1:2">
      <c r="A41" s="14">
        <v>3114</v>
      </c>
      <c r="B41" s="15">
        <v>5000</v>
      </c>
    </row>
    <row r="42" spans="1:2">
      <c r="A42" s="14" t="s">
        <v>102</v>
      </c>
      <c r="B42" s="15">
        <v>8277</v>
      </c>
    </row>
    <row r="43" spans="1:2">
      <c r="A43" s="14" t="s">
        <v>104</v>
      </c>
      <c r="B43" s="15">
        <v>8277</v>
      </c>
    </row>
    <row r="44" spans="1:2">
      <c r="A44" s="14" t="s">
        <v>106</v>
      </c>
      <c r="B44" s="15">
        <v>10800.7</v>
      </c>
    </row>
    <row r="45" spans="1:2">
      <c r="A45" s="14" t="s">
        <v>108</v>
      </c>
      <c r="B45" s="15">
        <v>9465.7800000000007</v>
      </c>
    </row>
    <row r="46" spans="1:2">
      <c r="A46" s="14">
        <v>3113</v>
      </c>
      <c r="B46" s="15">
        <v>4650</v>
      </c>
    </row>
    <row r="47" spans="1:2">
      <c r="A47" s="14">
        <v>3108</v>
      </c>
      <c r="B47" s="15">
        <v>10354</v>
      </c>
    </row>
    <row r="48" spans="1:2">
      <c r="A48" s="14">
        <v>3115</v>
      </c>
      <c r="B48" s="15">
        <v>8441.59</v>
      </c>
    </row>
    <row r="49" spans="1:2">
      <c r="A49" s="14">
        <v>3116</v>
      </c>
      <c r="B49" s="15">
        <v>5177</v>
      </c>
    </row>
    <row r="50" spans="1:2">
      <c r="A50" s="14">
        <v>3117</v>
      </c>
      <c r="B50" s="15">
        <v>5704</v>
      </c>
    </row>
    <row r="51" spans="1:2">
      <c r="A51" s="14">
        <v>3118</v>
      </c>
      <c r="B51" s="15">
        <v>5177</v>
      </c>
    </row>
    <row r="52" spans="1:2">
      <c r="A52" s="14">
        <v>3119</v>
      </c>
      <c r="B52" s="15">
        <v>6727</v>
      </c>
    </row>
    <row r="53" spans="1:2">
      <c r="A53" s="14">
        <v>3120</v>
      </c>
      <c r="B53" s="15">
        <v>7254</v>
      </c>
    </row>
    <row r="54" spans="1:2">
      <c r="A54" s="14">
        <v>3121</v>
      </c>
      <c r="B54" s="15">
        <v>6727</v>
      </c>
    </row>
    <row r="55" spans="1:2">
      <c r="A55" s="14">
        <v>3123</v>
      </c>
      <c r="B55" s="15">
        <v>5704</v>
      </c>
    </row>
    <row r="56" spans="1:2">
      <c r="A56" s="14">
        <v>3124</v>
      </c>
      <c r="B56" s="15">
        <v>5704</v>
      </c>
    </row>
    <row r="57" spans="1:2">
      <c r="A57" s="14">
        <v>3122</v>
      </c>
      <c r="B57" s="15">
        <v>7750</v>
      </c>
    </row>
    <row r="58" spans="1:2">
      <c r="A58" s="14">
        <v>3137</v>
      </c>
      <c r="B58" s="15">
        <v>5780</v>
      </c>
    </row>
    <row r="59" spans="1:2">
      <c r="A59" s="14">
        <v>3126</v>
      </c>
      <c r="B59" s="15">
        <v>6882</v>
      </c>
    </row>
    <row r="60" spans="1:2">
      <c r="A60" s="14">
        <v>3125</v>
      </c>
      <c r="B60" s="15">
        <v>5032</v>
      </c>
    </row>
    <row r="61" spans="1:2">
      <c r="A61" s="14">
        <v>3134</v>
      </c>
      <c r="B61" s="15">
        <v>4411</v>
      </c>
    </row>
    <row r="62" spans="1:2">
      <c r="A62" s="14">
        <v>3132</v>
      </c>
      <c r="B62" s="15">
        <v>6850</v>
      </c>
    </row>
    <row r="63" spans="1:2">
      <c r="A63" s="14">
        <v>3130</v>
      </c>
      <c r="B63" s="15">
        <v>5872</v>
      </c>
    </row>
    <row r="64" spans="1:2">
      <c r="A64" s="14">
        <v>3140</v>
      </c>
      <c r="B64" s="15">
        <v>7254</v>
      </c>
    </row>
    <row r="65" spans="1:2">
      <c r="A65" s="14">
        <v>3133</v>
      </c>
      <c r="B65" s="15">
        <v>5791</v>
      </c>
    </row>
    <row r="66" spans="1:2">
      <c r="A66" s="14">
        <v>3156</v>
      </c>
      <c r="B66" s="15">
        <v>5177</v>
      </c>
    </row>
    <row r="67" spans="1:2">
      <c r="A67" s="14">
        <v>3154</v>
      </c>
      <c r="B67" s="15">
        <v>6727</v>
      </c>
    </row>
    <row r="68" spans="1:2">
      <c r="A68" s="14">
        <v>3150</v>
      </c>
      <c r="B68" s="15">
        <v>7900</v>
      </c>
    </row>
    <row r="69" spans="1:2">
      <c r="A69" s="14">
        <v>3138</v>
      </c>
      <c r="B69" s="15">
        <v>13454</v>
      </c>
    </row>
    <row r="70" spans="1:2">
      <c r="A70" s="14">
        <v>3146</v>
      </c>
      <c r="B70" s="15">
        <v>5032</v>
      </c>
    </row>
    <row r="71" spans="1:2">
      <c r="A71" s="14">
        <v>3151</v>
      </c>
      <c r="B71" s="15">
        <v>660</v>
      </c>
    </row>
    <row r="72" spans="1:2">
      <c r="A72" s="14">
        <v>3152</v>
      </c>
      <c r="B72" s="15">
        <v>1100</v>
      </c>
    </row>
    <row r="73" spans="1:2">
      <c r="A73" s="14">
        <v>3145</v>
      </c>
      <c r="B73" s="15">
        <v>1100</v>
      </c>
    </row>
    <row r="74" spans="1:2">
      <c r="A74" s="14">
        <v>3139</v>
      </c>
      <c r="B74" s="15">
        <v>660</v>
      </c>
    </row>
    <row r="75" spans="1:2">
      <c r="A75" s="14">
        <v>3153</v>
      </c>
      <c r="B75" s="15">
        <v>1100</v>
      </c>
    </row>
    <row r="76" spans="1:2">
      <c r="A76" s="14">
        <v>3149</v>
      </c>
      <c r="B76" s="15">
        <v>1100</v>
      </c>
    </row>
    <row r="77" spans="1:2">
      <c r="A77" s="14">
        <v>3157</v>
      </c>
      <c r="B77" s="15">
        <v>1100</v>
      </c>
    </row>
    <row r="78" spans="1:2">
      <c r="A78" s="14">
        <v>3155</v>
      </c>
      <c r="B78" s="15">
        <v>1100</v>
      </c>
    </row>
    <row r="79" spans="1:2">
      <c r="A79" s="14">
        <v>3147</v>
      </c>
      <c r="B79" s="15">
        <v>1100</v>
      </c>
    </row>
    <row r="80" spans="1:2">
      <c r="A80" s="14">
        <v>3127</v>
      </c>
      <c r="B80" s="15">
        <v>1100</v>
      </c>
    </row>
    <row r="81" spans="1:2">
      <c r="A81" s="14">
        <v>3141</v>
      </c>
      <c r="B81" s="15">
        <v>1100</v>
      </c>
    </row>
    <row r="82" spans="1:2">
      <c r="A82" s="14">
        <v>3158</v>
      </c>
      <c r="B82" s="15">
        <v>4100</v>
      </c>
    </row>
    <row r="83" spans="1:2">
      <c r="A83" s="14">
        <v>3143</v>
      </c>
      <c r="B83" s="15">
        <v>6900</v>
      </c>
    </row>
    <row r="84" spans="1:2">
      <c r="A84" s="14">
        <v>3162</v>
      </c>
      <c r="B84" s="15">
        <v>3700</v>
      </c>
    </row>
    <row r="85" spans="1:2">
      <c r="A85" s="14">
        <v>3164</v>
      </c>
      <c r="B85" s="15">
        <v>3300</v>
      </c>
    </row>
    <row r="86" spans="1:2">
      <c r="A86" s="14">
        <v>3163</v>
      </c>
      <c r="B86" s="15">
        <v>3700</v>
      </c>
    </row>
    <row r="87" spans="1:2">
      <c r="A87" s="14">
        <v>3136</v>
      </c>
      <c r="B87" s="15">
        <v>6900</v>
      </c>
    </row>
    <row r="88" spans="1:2">
      <c r="A88" s="14">
        <v>3161</v>
      </c>
      <c r="B88" s="15">
        <v>1800</v>
      </c>
    </row>
    <row r="89" spans="1:2">
      <c r="A89" s="14">
        <v>3159</v>
      </c>
      <c r="B89" s="15">
        <v>1100</v>
      </c>
    </row>
    <row r="90" spans="1:2">
      <c r="A90" s="14">
        <v>3160</v>
      </c>
      <c r="B90" s="15">
        <v>1100</v>
      </c>
    </row>
    <row r="91" spans="1:2">
      <c r="A91" s="14">
        <v>3171</v>
      </c>
      <c r="B91" s="15">
        <v>800</v>
      </c>
    </row>
    <row r="92" spans="1:2">
      <c r="A92" s="14">
        <v>3173</v>
      </c>
      <c r="B92" s="15">
        <v>700</v>
      </c>
    </row>
    <row r="93" spans="1:2">
      <c r="A93" s="14">
        <v>3177</v>
      </c>
      <c r="B93" s="15">
        <v>700</v>
      </c>
    </row>
    <row r="94" spans="1:2">
      <c r="A94" s="14">
        <v>3169</v>
      </c>
      <c r="B94" s="15">
        <v>1000</v>
      </c>
    </row>
    <row r="95" spans="1:2">
      <c r="A95" s="14">
        <v>3175</v>
      </c>
      <c r="B95" s="15">
        <v>1100</v>
      </c>
    </row>
    <row r="96" spans="1:2">
      <c r="A96" s="14">
        <v>3178</v>
      </c>
      <c r="B96" s="15">
        <v>1000</v>
      </c>
    </row>
    <row r="97" spans="1:2">
      <c r="A97" s="14">
        <v>3181</v>
      </c>
      <c r="B97" s="15">
        <v>1000</v>
      </c>
    </row>
    <row r="98" spans="1:2">
      <c r="A98" s="14">
        <v>3176</v>
      </c>
      <c r="B98" s="15">
        <v>1000</v>
      </c>
    </row>
    <row r="99" spans="1:2">
      <c r="A99" s="14">
        <v>3182</v>
      </c>
      <c r="B99" s="15">
        <v>1000</v>
      </c>
    </row>
    <row r="100" spans="1:2">
      <c r="A100" s="14">
        <v>3166</v>
      </c>
      <c r="B100" s="15">
        <v>2000</v>
      </c>
    </row>
    <row r="101" spans="1:2">
      <c r="A101" s="14">
        <v>3165</v>
      </c>
      <c r="B101" s="15">
        <v>1000</v>
      </c>
    </row>
    <row r="102" spans="1:2">
      <c r="A102" s="14">
        <v>3183</v>
      </c>
      <c r="B102" s="15">
        <v>400</v>
      </c>
    </row>
    <row r="103" spans="1:2">
      <c r="A103" s="14">
        <v>3184</v>
      </c>
      <c r="B103" s="15">
        <v>400</v>
      </c>
    </row>
    <row r="104" spans="1:2">
      <c r="A104" s="14">
        <v>3168</v>
      </c>
      <c r="B104" s="15">
        <v>400</v>
      </c>
    </row>
    <row r="105" spans="1:2">
      <c r="A105" s="16"/>
      <c r="B105" s="17"/>
    </row>
    <row r="106" spans="1:2">
      <c r="A106" s="14">
        <v>2025</v>
      </c>
      <c r="B106" s="15">
        <v>55000</v>
      </c>
    </row>
    <row r="107" spans="1:2">
      <c r="A107" s="14">
        <v>2026</v>
      </c>
      <c r="B107" s="15">
        <v>40000</v>
      </c>
    </row>
    <row r="108" spans="1:2">
      <c r="A108" s="14">
        <v>2055</v>
      </c>
      <c r="B108" s="15">
        <v>36983</v>
      </c>
    </row>
    <row r="109" spans="1:2">
      <c r="A109" s="14">
        <v>2050</v>
      </c>
      <c r="B109" s="15">
        <v>0</v>
      </c>
    </row>
    <row r="110" spans="1:2">
      <c r="A110" s="14">
        <v>2057</v>
      </c>
      <c r="B110" s="15">
        <v>21152</v>
      </c>
    </row>
    <row r="111" spans="1:2">
      <c r="A111" s="14">
        <v>2053</v>
      </c>
      <c r="B111" s="15">
        <v>24522</v>
      </c>
    </row>
    <row r="112" spans="1:2">
      <c r="A112" s="14">
        <v>2056</v>
      </c>
      <c r="B112" s="15">
        <v>0</v>
      </c>
    </row>
    <row r="113" spans="1:2">
      <c r="A113" s="14">
        <v>2058</v>
      </c>
      <c r="B113" s="15">
        <v>39835</v>
      </c>
    </row>
    <row r="114" spans="1:2">
      <c r="A114" s="14">
        <v>2062</v>
      </c>
      <c r="B114" s="15">
        <v>36425</v>
      </c>
    </row>
    <row r="115" spans="1:2">
      <c r="A115" s="14">
        <v>2061</v>
      </c>
      <c r="B115" s="15">
        <v>8408</v>
      </c>
    </row>
    <row r="116" spans="1:2">
      <c r="A116" s="14">
        <v>2063</v>
      </c>
      <c r="B116" s="15">
        <v>3595</v>
      </c>
    </row>
    <row r="117" spans="1:2">
      <c r="A117" s="14">
        <v>2054</v>
      </c>
      <c r="B117" s="15">
        <v>34131</v>
      </c>
    </row>
    <row r="118" spans="1:2">
      <c r="A118" s="14">
        <v>2001</v>
      </c>
      <c r="B118" s="15">
        <v>49825</v>
      </c>
    </row>
    <row r="119" spans="1:2">
      <c r="A119" s="14">
        <v>2060</v>
      </c>
      <c r="B119" s="15">
        <v>34131</v>
      </c>
    </row>
    <row r="120" spans="1:2">
      <c r="A120" s="14">
        <v>2051</v>
      </c>
      <c r="B120" s="15">
        <v>2294</v>
      </c>
    </row>
    <row r="121" spans="1:2">
      <c r="A121" s="14">
        <v>2052</v>
      </c>
      <c r="B121" s="15">
        <v>1612.9</v>
      </c>
    </row>
    <row r="122" spans="1:2">
      <c r="A122" s="14" t="s">
        <v>56</v>
      </c>
      <c r="B122" s="15">
        <v>6200</v>
      </c>
    </row>
    <row r="123" spans="1:2">
      <c r="A123" s="14">
        <v>3085</v>
      </c>
      <c r="B123" s="15">
        <v>7200</v>
      </c>
    </row>
    <row r="124" spans="1:2">
      <c r="A124" s="14">
        <v>3093</v>
      </c>
      <c r="B124" s="15">
        <v>3582.19</v>
      </c>
    </row>
    <row r="125" spans="1:2">
      <c r="A125" s="14">
        <v>3092</v>
      </c>
      <c r="B125" s="15">
        <v>10832.19</v>
      </c>
    </row>
    <row r="126" spans="1:2">
      <c r="A126" s="14">
        <v>3089</v>
      </c>
      <c r="B126" s="15">
        <v>591</v>
      </c>
    </row>
    <row r="127" spans="1:2">
      <c r="A127" s="14">
        <v>3090</v>
      </c>
      <c r="B127" s="15">
        <v>10850</v>
      </c>
    </row>
    <row r="128" spans="1:2">
      <c r="A128" s="14">
        <v>3087</v>
      </c>
      <c r="B128" s="15">
        <v>10354</v>
      </c>
    </row>
    <row r="129" spans="1:2">
      <c r="A129" s="14">
        <v>3086</v>
      </c>
      <c r="B129" s="15">
        <v>4650</v>
      </c>
    </row>
    <row r="130" spans="1:2">
      <c r="A130" s="14">
        <v>3100</v>
      </c>
      <c r="B130" s="15">
        <v>9300</v>
      </c>
    </row>
    <row r="131" spans="1:2">
      <c r="A131" s="14">
        <v>3088</v>
      </c>
      <c r="B131" s="15">
        <v>7507.51</v>
      </c>
    </row>
    <row r="132" spans="1:2">
      <c r="A132" s="14">
        <v>3101</v>
      </c>
      <c r="B132" s="15">
        <v>8665.75</v>
      </c>
    </row>
    <row r="133" spans="1:2">
      <c r="A133" s="14">
        <v>3078</v>
      </c>
      <c r="B133" s="15">
        <v>10354</v>
      </c>
    </row>
    <row r="134" spans="1:2">
      <c r="A134" s="14">
        <v>3097</v>
      </c>
      <c r="B134" s="15">
        <v>9465.7800000000007</v>
      </c>
    </row>
    <row r="135" spans="1:2">
      <c r="A135" s="14">
        <v>3096</v>
      </c>
      <c r="B135" s="15">
        <v>7254</v>
      </c>
    </row>
    <row r="136" spans="1:2">
      <c r="A136" s="14">
        <v>3094</v>
      </c>
      <c r="B136" s="15">
        <v>13510.99</v>
      </c>
    </row>
    <row r="137" spans="1:2">
      <c r="A137" s="14">
        <v>3098</v>
      </c>
      <c r="B137" s="15">
        <v>6200</v>
      </c>
    </row>
    <row r="138" spans="1:2">
      <c r="A138" s="14">
        <v>3099</v>
      </c>
      <c r="B138" s="15">
        <v>12069.75</v>
      </c>
    </row>
    <row r="139" spans="1:2">
      <c r="A139" s="14">
        <v>3102</v>
      </c>
      <c r="B139" s="15">
        <v>6727</v>
      </c>
    </row>
    <row r="140" spans="1:2">
      <c r="A140" s="14">
        <v>3103</v>
      </c>
      <c r="B140" s="15">
        <v>6200</v>
      </c>
    </row>
    <row r="141" spans="1:2">
      <c r="A141" s="14">
        <v>3105</v>
      </c>
      <c r="B141" s="15">
        <v>5177</v>
      </c>
    </row>
    <row r="142" spans="1:2">
      <c r="A142" s="14">
        <v>3095</v>
      </c>
      <c r="B142" s="15">
        <v>7254</v>
      </c>
    </row>
    <row r="143" spans="1:2">
      <c r="A143" s="14">
        <v>3104</v>
      </c>
      <c r="B143" s="15">
        <v>6727</v>
      </c>
    </row>
    <row r="144" spans="1:2">
      <c r="A144" s="14">
        <v>3107</v>
      </c>
      <c r="B144" s="15">
        <v>7841.73</v>
      </c>
    </row>
    <row r="145" spans="1:2">
      <c r="A145" s="14">
        <v>3106</v>
      </c>
      <c r="B145" s="15">
        <v>3702.33</v>
      </c>
    </row>
    <row r="146" spans="1:2">
      <c r="A146" s="14">
        <v>3114</v>
      </c>
      <c r="B146" s="15">
        <v>5000</v>
      </c>
    </row>
    <row r="147" spans="1:2">
      <c r="A147" s="14">
        <v>3111</v>
      </c>
      <c r="B147" s="15">
        <v>8277</v>
      </c>
    </row>
    <row r="148" spans="1:2">
      <c r="A148" s="14">
        <v>3109</v>
      </c>
      <c r="B148" s="15">
        <v>8277</v>
      </c>
    </row>
    <row r="149" spans="1:2">
      <c r="A149" s="14">
        <v>3112</v>
      </c>
      <c r="B149" s="15">
        <v>10800.7</v>
      </c>
    </row>
    <row r="150" spans="1:2">
      <c r="A150" s="14">
        <v>3110</v>
      </c>
      <c r="B150" s="15">
        <v>9465.7800000000007</v>
      </c>
    </row>
    <row r="151" spans="1:2">
      <c r="A151" s="14">
        <v>3113</v>
      </c>
      <c r="B151" s="15">
        <v>4650</v>
      </c>
    </row>
    <row r="152" spans="1:2">
      <c r="A152" s="14">
        <v>3108</v>
      </c>
      <c r="B152" s="15">
        <v>10354</v>
      </c>
    </row>
    <row r="153" spans="1:2">
      <c r="A153" s="14">
        <v>3115</v>
      </c>
      <c r="B153" s="15">
        <v>8441.59</v>
      </c>
    </row>
    <row r="154" spans="1:2">
      <c r="A154" s="14">
        <v>3116</v>
      </c>
      <c r="B154" s="15">
        <v>5177</v>
      </c>
    </row>
    <row r="155" spans="1:2">
      <c r="A155" s="14">
        <v>3117</v>
      </c>
      <c r="B155" s="15">
        <v>5704</v>
      </c>
    </row>
    <row r="156" spans="1:2">
      <c r="A156" s="14">
        <v>3118</v>
      </c>
      <c r="B156" s="15">
        <v>5177</v>
      </c>
    </row>
    <row r="157" spans="1:2">
      <c r="A157" s="14">
        <v>3119</v>
      </c>
      <c r="B157" s="15">
        <v>6727</v>
      </c>
    </row>
    <row r="158" spans="1:2">
      <c r="A158" s="14">
        <v>3120</v>
      </c>
      <c r="B158" s="15">
        <v>7254</v>
      </c>
    </row>
    <row r="159" spans="1:2">
      <c r="A159" s="14">
        <v>3121</v>
      </c>
      <c r="B159" s="15">
        <v>6727</v>
      </c>
    </row>
    <row r="160" spans="1:2">
      <c r="A160" s="14">
        <v>3123</v>
      </c>
      <c r="B160" s="15">
        <v>5704</v>
      </c>
    </row>
    <row r="161" spans="1:2">
      <c r="A161" s="14">
        <v>3124</v>
      </c>
      <c r="B161" s="15">
        <v>5704</v>
      </c>
    </row>
    <row r="162" spans="1:2">
      <c r="A162" s="14">
        <v>3122</v>
      </c>
      <c r="B162" s="15">
        <v>7750</v>
      </c>
    </row>
    <row r="163" spans="1:2">
      <c r="A163" s="14">
        <v>3137</v>
      </c>
      <c r="B163" s="15">
        <v>5780</v>
      </c>
    </row>
    <row r="164" spans="1:2">
      <c r="A164" s="14">
        <v>3132</v>
      </c>
      <c r="B164" s="15">
        <v>6850</v>
      </c>
    </row>
    <row r="165" spans="1:2">
      <c r="A165" s="14">
        <v>3134</v>
      </c>
      <c r="B165" s="15">
        <v>4411</v>
      </c>
    </row>
    <row r="166" spans="1:2">
      <c r="B166" s="15">
        <v>0</v>
      </c>
    </row>
    <row r="167" spans="1:2">
      <c r="B167" s="15">
        <v>0</v>
      </c>
    </row>
    <row r="168" spans="1:2">
      <c r="A168" s="14">
        <v>3125</v>
      </c>
      <c r="B168" s="15">
        <v>5032</v>
      </c>
    </row>
    <row r="169" spans="1:2">
      <c r="A169" s="14">
        <v>3126</v>
      </c>
      <c r="B169" s="15">
        <v>6882</v>
      </c>
    </row>
    <row r="170" spans="1:2">
      <c r="B170" s="15">
        <v>0</v>
      </c>
    </row>
    <row r="171" spans="1:2">
      <c r="B171" s="15">
        <v>0</v>
      </c>
    </row>
    <row r="172" spans="1:2">
      <c r="A172" s="14">
        <v>3130</v>
      </c>
      <c r="B172" s="15">
        <v>5872</v>
      </c>
    </row>
    <row r="173" spans="1:2">
      <c r="A173" s="14">
        <v>3140</v>
      </c>
      <c r="B173" s="15">
        <v>7254</v>
      </c>
    </row>
    <row r="174" spans="1:2">
      <c r="A174" s="14">
        <v>3144</v>
      </c>
      <c r="B174" s="15">
        <v>0</v>
      </c>
    </row>
    <row r="175" spans="1:2">
      <c r="A175" s="14">
        <v>3133</v>
      </c>
      <c r="B175" s="15">
        <v>5791</v>
      </c>
    </row>
    <row r="176" spans="1:2">
      <c r="A176" s="14">
        <v>3156</v>
      </c>
      <c r="B176" s="15">
        <v>5177</v>
      </c>
    </row>
    <row r="177" spans="1:2">
      <c r="A177" s="14">
        <v>3154</v>
      </c>
      <c r="B177" s="15">
        <v>6727</v>
      </c>
    </row>
    <row r="178" spans="1:2">
      <c r="A178" s="14">
        <v>2064</v>
      </c>
      <c r="B178" s="15">
        <v>2149</v>
      </c>
    </row>
    <row r="179" spans="1:2">
      <c r="A179" s="14">
        <v>3138</v>
      </c>
      <c r="B179" s="15">
        <v>13454</v>
      </c>
    </row>
    <row r="180" spans="1:2">
      <c r="A180" s="14">
        <v>3150</v>
      </c>
      <c r="B180" s="15">
        <v>7900</v>
      </c>
    </row>
    <row r="181" spans="1:2">
      <c r="A181" s="14">
        <v>3141</v>
      </c>
      <c r="B181" s="15">
        <v>1100</v>
      </c>
    </row>
    <row r="182" spans="1:2">
      <c r="A182" s="14">
        <v>3151</v>
      </c>
      <c r="B182" s="15">
        <v>660</v>
      </c>
    </row>
    <row r="183" spans="1:2">
      <c r="A183" s="14">
        <v>3152</v>
      </c>
      <c r="B183" s="15">
        <v>1100</v>
      </c>
    </row>
    <row r="184" spans="1:2">
      <c r="A184" s="14">
        <v>3145</v>
      </c>
      <c r="B184" s="15">
        <v>1100</v>
      </c>
    </row>
    <row r="185" spans="1:2">
      <c r="A185" s="14">
        <v>3139</v>
      </c>
      <c r="B185" s="15">
        <v>660</v>
      </c>
    </row>
    <row r="186" spans="1:2">
      <c r="A186" s="14">
        <v>3153</v>
      </c>
      <c r="B186" s="15">
        <v>1100</v>
      </c>
    </row>
    <row r="187" spans="1:2">
      <c r="A187" s="14">
        <v>3149</v>
      </c>
      <c r="B187" s="15">
        <v>1100</v>
      </c>
    </row>
    <row r="188" spans="1:2">
      <c r="A188" s="14">
        <v>3157</v>
      </c>
      <c r="B188" s="15">
        <v>1100</v>
      </c>
    </row>
    <row r="189" spans="1:2">
      <c r="A189" s="14">
        <v>3155</v>
      </c>
      <c r="B189" s="15">
        <v>1100</v>
      </c>
    </row>
    <row r="190" spans="1:2">
      <c r="A190" s="14">
        <v>3147</v>
      </c>
      <c r="B190" s="15">
        <v>1100</v>
      </c>
    </row>
    <row r="191" spans="1:2">
      <c r="A191" s="14">
        <v>3127</v>
      </c>
      <c r="B191" s="15">
        <v>1100</v>
      </c>
    </row>
    <row r="192" spans="1:2">
      <c r="A192" s="14">
        <v>3158</v>
      </c>
      <c r="B192" s="15">
        <v>4100</v>
      </c>
    </row>
    <row r="193" spans="1:2">
      <c r="A193" s="14">
        <v>3143</v>
      </c>
      <c r="B193" s="15">
        <v>6900</v>
      </c>
    </row>
    <row r="194" spans="1:2">
      <c r="A194" s="14">
        <v>3162</v>
      </c>
      <c r="B194" s="15">
        <v>3700</v>
      </c>
    </row>
    <row r="195" spans="1:2">
      <c r="A195" s="14">
        <v>3164</v>
      </c>
      <c r="B195" s="15">
        <v>3300</v>
      </c>
    </row>
    <row r="196" spans="1:2">
      <c r="A196" s="14">
        <v>3163</v>
      </c>
      <c r="B196" s="15">
        <v>3700</v>
      </c>
    </row>
    <row r="197" spans="1:2">
      <c r="A197" s="14">
        <v>3136</v>
      </c>
      <c r="B197" s="15">
        <v>6900</v>
      </c>
    </row>
    <row r="198" spans="1:2">
      <c r="A198" s="14">
        <v>3161</v>
      </c>
      <c r="B198" s="15">
        <v>1800</v>
      </c>
    </row>
    <row r="199" spans="1:2">
      <c r="A199" s="14">
        <v>3159</v>
      </c>
      <c r="B199" s="15">
        <v>1100</v>
      </c>
    </row>
    <row r="200" spans="1:2">
      <c r="A200" s="14">
        <v>3160</v>
      </c>
      <c r="B200" s="15">
        <v>1100</v>
      </c>
    </row>
    <row r="201" spans="1:2">
      <c r="A201" s="14">
        <v>3171</v>
      </c>
      <c r="B201" s="15">
        <v>800</v>
      </c>
    </row>
    <row r="202" spans="1:2">
      <c r="A202" s="14">
        <v>3173</v>
      </c>
      <c r="B202" s="15">
        <v>700</v>
      </c>
    </row>
    <row r="203" spans="1:2">
      <c r="A203" s="14">
        <v>3177</v>
      </c>
      <c r="B203" s="15">
        <v>700</v>
      </c>
    </row>
    <row r="204" spans="1:2">
      <c r="A204" s="14">
        <v>3169</v>
      </c>
      <c r="B204" s="15">
        <v>1000</v>
      </c>
    </row>
    <row r="205" spans="1:2">
      <c r="A205" s="14">
        <v>3175</v>
      </c>
      <c r="B205" s="15">
        <v>1100</v>
      </c>
    </row>
    <row r="206" spans="1:2">
      <c r="A206" s="14">
        <v>3178</v>
      </c>
      <c r="B206" s="15">
        <v>1000</v>
      </c>
    </row>
    <row r="207" spans="1:2">
      <c r="A207" s="14">
        <v>3181</v>
      </c>
      <c r="B207" s="15">
        <v>1000</v>
      </c>
    </row>
    <row r="208" spans="1:2">
      <c r="A208" s="14">
        <v>3176</v>
      </c>
      <c r="B208" s="15">
        <v>1000</v>
      </c>
    </row>
    <row r="209" spans="1:2">
      <c r="A209" s="14">
        <v>3182</v>
      </c>
      <c r="B209" s="15">
        <v>1000</v>
      </c>
    </row>
    <row r="210" spans="1:2">
      <c r="A210" s="14">
        <v>3166</v>
      </c>
      <c r="B210" s="15">
        <v>2000</v>
      </c>
    </row>
    <row r="211" spans="1:2">
      <c r="A211" s="14">
        <v>3165</v>
      </c>
      <c r="B211" s="15">
        <v>1000</v>
      </c>
    </row>
    <row r="212" spans="1:2">
      <c r="A212" s="14">
        <v>3183</v>
      </c>
      <c r="B212" s="15">
        <v>400</v>
      </c>
    </row>
    <row r="213" spans="1:2">
      <c r="A213" s="14">
        <v>3184</v>
      </c>
      <c r="B213" s="15">
        <v>400</v>
      </c>
    </row>
    <row r="214" spans="1:2">
      <c r="A214" s="14">
        <v>3168</v>
      </c>
      <c r="B214" s="15">
        <v>400</v>
      </c>
    </row>
  </sheetData>
  <autoFilter ref="A1:B1" xr:uid="{C95E4B75-B86F-4619-9650-355924CCFA91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Overseas</dc:creator>
  <cp:keywords/>
  <dc:description/>
  <cp:lastModifiedBy>Guest User</cp:lastModifiedBy>
  <cp:revision/>
  <dcterms:created xsi:type="dcterms:W3CDTF">2023-08-13T16:59:58Z</dcterms:created>
  <dcterms:modified xsi:type="dcterms:W3CDTF">2026-06-01T10:30:12Z</dcterms:modified>
  <cp:category/>
  <cp:contentStatus/>
</cp:coreProperties>
</file>